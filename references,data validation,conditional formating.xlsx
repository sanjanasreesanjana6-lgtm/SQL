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4" documentId="11_E60897F41BE170836B02CE998F75CCDC64E183C8" xr6:coauthVersionLast="47" xr6:coauthVersionMax="47" xr10:uidLastSave="{66F613C6-1E7A-4492-9F42-9BE446381197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3" i="2" l="1"/>
  <c r="F43" i="2" s="1"/>
  <c r="G43" i="2" s="1"/>
  <c r="E42" i="2"/>
  <c r="F42" i="2" s="1"/>
  <c r="G42" i="2" s="1"/>
  <c r="E41" i="2"/>
  <c r="F41" i="2" s="1"/>
  <c r="G41" i="2" s="1"/>
  <c r="E40" i="2"/>
  <c r="F40" i="2" s="1"/>
  <c r="G40" i="2" s="1"/>
  <c r="E39" i="2"/>
  <c r="F39" i="2" s="1"/>
  <c r="G39" i="2" s="1"/>
  <c r="E38" i="2"/>
  <c r="F38" i="2" s="1"/>
  <c r="G38" i="2" s="1"/>
  <c r="E37" i="2"/>
  <c r="F37" i="2" s="1"/>
  <c r="G37" i="2" s="1"/>
  <c r="E36" i="2"/>
  <c r="F36" i="2" s="1"/>
  <c r="G36" i="2" s="1"/>
  <c r="E35" i="2"/>
  <c r="F35" i="2" s="1"/>
  <c r="G35" i="2" s="1"/>
  <c r="E34" i="2"/>
  <c r="F34" i="2" s="1"/>
  <c r="G34" i="2" s="1"/>
  <c r="G44" i="2" s="1"/>
  <c r="G25" i="2"/>
  <c r="F25" i="2"/>
  <c r="E25" i="2"/>
  <c r="D25" i="2"/>
  <c r="C25" i="2"/>
  <c r="G24" i="2"/>
  <c r="F24" i="2"/>
  <c r="E24" i="2"/>
  <c r="D24" i="2"/>
  <c r="C24" i="2"/>
  <c r="G23" i="2"/>
  <c r="F23" i="2"/>
  <c r="E23" i="2"/>
  <c r="D23" i="2"/>
  <c r="C23" i="2"/>
  <c r="G22" i="2"/>
  <c r="F22" i="2"/>
  <c r="E22" i="2"/>
  <c r="D22" i="2"/>
  <c r="C22" i="2"/>
  <c r="H17" i="2"/>
  <c r="H16" i="2"/>
  <c r="H15" i="2"/>
  <c r="C15" i="2"/>
  <c r="H14" i="2"/>
  <c r="C14" i="2"/>
  <c r="H13" i="2"/>
  <c r="C13" i="2"/>
  <c r="H12" i="2"/>
  <c r="C12" i="2"/>
  <c r="D8" i="2"/>
  <c r="D7" i="2"/>
  <c r="D6" i="2"/>
  <c r="D5" i="2"/>
</calcChain>
</file>

<file path=xl/sharedStrings.xml><?xml version="1.0" encoding="utf-8"?>
<sst xmlns="http://schemas.openxmlformats.org/spreadsheetml/2006/main" count="73" uniqueCount="61">
  <si>
    <t>REFFERENCES</t>
  </si>
  <si>
    <t>RELATED REFFERENCE</t>
  </si>
  <si>
    <t>numbers</t>
  </si>
  <si>
    <t>NUMBER 2</t>
  </si>
  <si>
    <t>total</t>
  </si>
  <si>
    <t>ABSOLUTE REFFERENCE</t>
  </si>
  <si>
    <t>vehicles</t>
  </si>
  <si>
    <t>km</t>
  </si>
  <si>
    <t>----&gt;&gt;</t>
  </si>
  <si>
    <t>values</t>
  </si>
  <si>
    <t>car</t>
  </si>
  <si>
    <t>bike</t>
  </si>
  <si>
    <t>plane</t>
  </si>
  <si>
    <t>MIXED REFFERENCE</t>
  </si>
  <si>
    <t>Numbers</t>
  </si>
  <si>
    <t>electric bill example</t>
  </si>
  <si>
    <t>NAME</t>
  </si>
  <si>
    <t>PREVIOUS READING</t>
  </si>
  <si>
    <t>PRESENT READING</t>
  </si>
  <si>
    <t>UNITS USED</t>
  </si>
  <si>
    <t>UNITS CHARGED</t>
  </si>
  <si>
    <t>AMOUNT PAYABLE</t>
  </si>
  <si>
    <t>UNIT COST</t>
  </si>
  <si>
    <t>Sandra Atkins</t>
  </si>
  <si>
    <t>STANDING CHARGE</t>
  </si>
  <si>
    <t xml:space="preserve"> Harold Bradshaw</t>
  </si>
  <si>
    <t xml:space="preserve"> Anne Browne</t>
  </si>
  <si>
    <t xml:space="preserve"> Peter Curle</t>
  </si>
  <si>
    <t xml:space="preserve"> Ken Dobson</t>
  </si>
  <si>
    <t xml:space="preserve"> Denise Martin</t>
  </si>
  <si>
    <t xml:space="preserve"> Jean Paget</t>
  </si>
  <si>
    <t xml:space="preserve"> John Quinn</t>
  </si>
  <si>
    <t xml:space="preserve"> Jill Shaw</t>
  </si>
  <si>
    <t xml:space="preserve">  Keith Williams</t>
  </si>
  <si>
    <t>TOTAL</t>
  </si>
  <si>
    <t>DATA VALIDATION</t>
  </si>
  <si>
    <t>GENDER</t>
  </si>
  <si>
    <t>AGE</t>
  </si>
  <si>
    <t>GAME</t>
  </si>
  <si>
    <t>--------&gt;&gt;&gt;</t>
  </si>
  <si>
    <t>GAMES</t>
  </si>
  <si>
    <t>tina</t>
  </si>
  <si>
    <t>female</t>
  </si>
  <si>
    <t>kabadi</t>
  </si>
  <si>
    <t>koo-koo</t>
  </si>
  <si>
    <t>mina</t>
  </si>
  <si>
    <t>others</t>
  </si>
  <si>
    <t>carrom</t>
  </si>
  <si>
    <t>cricket</t>
  </si>
  <si>
    <t>male</t>
  </si>
  <si>
    <t>chess</t>
  </si>
  <si>
    <t>running</t>
  </si>
  <si>
    <t>CONDITIONAL FORMATING</t>
  </si>
  <si>
    <t>VALUES</t>
  </si>
  <si>
    <t>----&gt;&gt;&gt;</t>
  </si>
  <si>
    <t>CONDITION</t>
  </si>
  <si>
    <t>min</t>
  </si>
  <si>
    <t>max</t>
  </si>
  <si>
    <t>sale day 1</t>
  </si>
  <si>
    <t>sale day 2</t>
  </si>
  <si>
    <t>sale day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</si>
</sst>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833C0C"/>
      <name val="Calibri Light"/>
      <scheme val="major"/>
    </font>
    <font>
      <b/>
      <sz val="11"/>
      <color rgb="FF000000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/>
    <xf numFmtId="0" fontId="0" fillId="5" borderId="5" xfId="0" applyFill="1" applyBorder="1"/>
    <xf numFmtId="0" fontId="0" fillId="0" borderId="6" xfId="0" applyBorder="1"/>
    <xf numFmtId="0" fontId="0" fillId="5" borderId="7" xfId="0" applyFill="1" applyBorder="1"/>
    <xf numFmtId="0" fontId="0" fillId="0" borderId="8" xfId="0" applyBorder="1"/>
    <xf numFmtId="0" fontId="0" fillId="0" borderId="9" xfId="0" applyBorder="1"/>
    <xf numFmtId="0" fontId="0" fillId="7" borderId="1" xfId="0" applyFill="1" applyBorder="1"/>
    <xf numFmtId="0" fontId="2" fillId="8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9" borderId="1" xfId="0" applyFill="1" applyBorder="1" applyAlignment="1">
      <alignment wrapText="1"/>
    </xf>
    <xf numFmtId="0" fontId="0" fillId="9" borderId="1" xfId="0" applyFill="1" applyBorder="1"/>
    <xf numFmtId="0" fontId="0" fillId="8" borderId="0" xfId="0" applyFill="1"/>
    <xf numFmtId="0" fontId="0" fillId="0" borderId="1" xfId="0" applyBorder="1" applyAlignment="1">
      <alignment wrapText="1"/>
    </xf>
    <xf numFmtId="0" fontId="0" fillId="0" borderId="10" xfId="0" applyBorder="1"/>
    <xf numFmtId="0" fontId="0" fillId="10" borderId="11" xfId="0" applyFill="1" applyBorder="1"/>
    <xf numFmtId="0" fontId="0" fillId="11" borderId="12" xfId="0" applyFill="1" applyBorder="1"/>
    <xf numFmtId="0" fontId="1" fillId="12" borderId="0" xfId="0" applyFont="1" applyFill="1"/>
    <xf numFmtId="0" fontId="0" fillId="0" borderId="13" xfId="0" applyBorder="1"/>
    <xf numFmtId="0" fontId="0" fillId="12" borderId="0" xfId="0" applyFill="1"/>
    <xf numFmtId="0" fontId="1" fillId="0" borderId="0" xfId="0" applyFont="1"/>
    <xf numFmtId="0" fontId="0" fillId="0" borderId="5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7" xfId="0" applyBorder="1"/>
    <xf numFmtId="0" fontId="3" fillId="13" borderId="2" xfId="0" applyFont="1" applyFill="1" applyBorder="1"/>
    <xf numFmtId="0" fontId="3" fillId="13" borderId="3" xfId="0" applyFont="1" applyFill="1" applyBorder="1"/>
    <xf numFmtId="0" fontId="1" fillId="13" borderId="4" xfId="0" applyFont="1" applyFill="1" applyBorder="1"/>
  </cellXfs>
  <cellStyles count="1">
    <cellStyle name="Normal" xfId="0" builtinId="0"/>
  </cellStyles>
  <dxfs count="2">
    <dxf>
      <fill>
        <patternFill>
          <bgColor rgb="FFFFC7CE"/>
        </patternFill>
      </fill>
    </dxf>
    <dxf>
      <font>
        <b/>
        <i val="0"/>
        <color rgb="FF9C0006"/>
      </font>
      <fill>
        <patternFill patternType="solid">
          <bgColor rgb="FF92D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75073-C340-4D6C-BDD0-820E86C18461}">
  <dimension ref="B1:K99"/>
  <sheetViews>
    <sheetView tabSelected="1" topLeftCell="A85" workbookViewId="0">
      <selection activeCell="F74" sqref="F74:F86"/>
    </sheetView>
  </sheetViews>
  <sheetFormatPr defaultRowHeight="15"/>
  <cols>
    <col min="2" max="2" width="30" customWidth="1"/>
    <col min="3" max="3" width="20" customWidth="1"/>
    <col min="4" max="4" width="21.5703125" bestFit="1" customWidth="1"/>
    <col min="5" max="5" width="11.42578125" bestFit="1" customWidth="1"/>
    <col min="6" max="6" width="15.28515625" bestFit="1" customWidth="1"/>
    <col min="7" max="7" width="17.42578125" bestFit="1" customWidth="1"/>
    <col min="10" max="10" width="18.28515625" bestFit="1" customWidth="1"/>
  </cols>
  <sheetData>
    <row r="1" spans="2:11">
      <c r="C1" s="1" t="s">
        <v>0</v>
      </c>
    </row>
    <row r="3" spans="2:11">
      <c r="D3" s="2" t="s">
        <v>1</v>
      </c>
    </row>
    <row r="4" spans="2:11">
      <c r="B4" s="3" t="s">
        <v>2</v>
      </c>
      <c r="C4" s="3" t="s">
        <v>3</v>
      </c>
      <c r="D4" s="3" t="s">
        <v>4</v>
      </c>
    </row>
    <row r="5" spans="2:11">
      <c r="B5" s="4">
        <v>3</v>
      </c>
      <c r="C5" s="4">
        <v>4</v>
      </c>
      <c r="D5" s="5">
        <f>B5+C5</f>
        <v>7</v>
      </c>
    </row>
    <row r="6" spans="2:11">
      <c r="B6" s="4">
        <v>4</v>
      </c>
      <c r="C6" s="4">
        <v>5</v>
      </c>
      <c r="D6" s="5">
        <f t="shared" ref="D6:D8" si="0">B6+C6</f>
        <v>9</v>
      </c>
    </row>
    <row r="7" spans="2:11">
      <c r="B7" s="4">
        <v>5</v>
      </c>
      <c r="C7" s="4">
        <v>6</v>
      </c>
      <c r="D7" s="5">
        <f t="shared" si="0"/>
        <v>11</v>
      </c>
    </row>
    <row r="8" spans="2:11">
      <c r="B8" s="4">
        <v>5</v>
      </c>
      <c r="C8" s="4">
        <v>7</v>
      </c>
      <c r="D8" s="5">
        <f t="shared" si="0"/>
        <v>12</v>
      </c>
    </row>
    <row r="10" spans="2:11">
      <c r="D10" s="2" t="s">
        <v>5</v>
      </c>
    </row>
    <row r="11" spans="2:11">
      <c r="B11" s="4" t="s">
        <v>2</v>
      </c>
      <c r="C11" s="6">
        <v>6</v>
      </c>
      <c r="F11" s="7" t="s">
        <v>6</v>
      </c>
      <c r="G11" s="8" t="s">
        <v>7</v>
      </c>
      <c r="H11" s="9" t="s">
        <v>4</v>
      </c>
      <c r="I11" s="10" t="s">
        <v>8</v>
      </c>
      <c r="J11" s="7" t="s">
        <v>9</v>
      </c>
      <c r="K11" s="9" t="s">
        <v>7</v>
      </c>
    </row>
    <row r="12" spans="2:11">
      <c r="B12" s="4">
        <v>2</v>
      </c>
      <c r="C12" s="5">
        <f>B12*C$11</f>
        <v>12</v>
      </c>
      <c r="F12" s="11" t="s">
        <v>10</v>
      </c>
      <c r="G12" s="5">
        <v>46</v>
      </c>
      <c r="H12" s="12">
        <f>G12*K$12</f>
        <v>1840</v>
      </c>
      <c r="J12" s="11" t="s">
        <v>10</v>
      </c>
      <c r="K12" s="12">
        <v>40</v>
      </c>
    </row>
    <row r="13" spans="2:11">
      <c r="B13" s="4">
        <v>3</v>
      </c>
      <c r="C13" s="5">
        <f>B13*C$11</f>
        <v>18</v>
      </c>
      <c r="F13" s="11" t="s">
        <v>10</v>
      </c>
      <c r="G13" s="5">
        <v>53</v>
      </c>
      <c r="H13" s="12">
        <f>G13*K$12</f>
        <v>2120</v>
      </c>
      <c r="J13" s="11" t="s">
        <v>11</v>
      </c>
      <c r="K13" s="12">
        <v>23</v>
      </c>
    </row>
    <row r="14" spans="2:11">
      <c r="B14" s="4">
        <v>4</v>
      </c>
      <c r="C14" s="5">
        <f>B14*C$11</f>
        <v>24</v>
      </c>
      <c r="F14" s="11" t="s">
        <v>11</v>
      </c>
      <c r="G14" s="5">
        <v>453</v>
      </c>
      <c r="H14" s="12">
        <f>G14*K$13</f>
        <v>10419</v>
      </c>
      <c r="J14" s="13" t="s">
        <v>12</v>
      </c>
      <c r="K14" s="14">
        <v>56</v>
      </c>
    </row>
    <row r="15" spans="2:11">
      <c r="B15" s="4">
        <v>5</v>
      </c>
      <c r="C15" s="5">
        <f>B15*C$11</f>
        <v>30</v>
      </c>
      <c r="F15" s="11" t="s">
        <v>11</v>
      </c>
      <c r="G15" s="5">
        <v>89</v>
      </c>
      <c r="H15" s="12">
        <f>G15*K$13</f>
        <v>2047</v>
      </c>
    </row>
    <row r="16" spans="2:11">
      <c r="F16" s="11" t="s">
        <v>12</v>
      </c>
      <c r="G16" s="5">
        <v>9034</v>
      </c>
      <c r="H16" s="12">
        <f>G16*K$14</f>
        <v>505904</v>
      </c>
    </row>
    <row r="17" spans="2:8">
      <c r="F17" s="13" t="s">
        <v>12</v>
      </c>
      <c r="G17" s="15">
        <v>2431</v>
      </c>
      <c r="H17" s="14">
        <f>G17*K$14</f>
        <v>136136</v>
      </c>
    </row>
    <row r="19" spans="2:8">
      <c r="D19" s="2" t="s">
        <v>13</v>
      </c>
    </row>
    <row r="21" spans="2:8">
      <c r="B21" s="4" t="s">
        <v>14</v>
      </c>
      <c r="C21" s="16">
        <v>1</v>
      </c>
      <c r="D21" s="16">
        <v>2</v>
      </c>
      <c r="E21" s="16">
        <v>3</v>
      </c>
      <c r="F21" s="16">
        <v>4</v>
      </c>
      <c r="G21" s="16">
        <v>5</v>
      </c>
    </row>
    <row r="22" spans="2:8">
      <c r="B22" s="4">
        <v>2</v>
      </c>
      <c r="C22" s="5">
        <f>$B22^C$21</f>
        <v>2</v>
      </c>
      <c r="D22" s="5">
        <f>$B22^D$21</f>
        <v>4</v>
      </c>
      <c r="E22" s="5">
        <f t="shared" ref="E22:G22" si="1">$B22^E$21</f>
        <v>8</v>
      </c>
      <c r="F22" s="5">
        <f t="shared" si="1"/>
        <v>16</v>
      </c>
      <c r="G22" s="5">
        <f t="shared" si="1"/>
        <v>32</v>
      </c>
    </row>
    <row r="23" spans="2:8">
      <c r="B23" s="4">
        <v>3</v>
      </c>
      <c r="C23" s="5">
        <f t="shared" ref="C23:G25" si="2">$B23^C$21</f>
        <v>3</v>
      </c>
      <c r="D23" s="5">
        <f t="shared" si="2"/>
        <v>9</v>
      </c>
      <c r="E23" s="5">
        <f t="shared" si="2"/>
        <v>27</v>
      </c>
      <c r="F23" s="5">
        <f t="shared" si="2"/>
        <v>81</v>
      </c>
      <c r="G23" s="5">
        <f t="shared" si="2"/>
        <v>243</v>
      </c>
    </row>
    <row r="24" spans="2:8">
      <c r="B24" s="4">
        <v>4</v>
      </c>
      <c r="C24" s="5">
        <f t="shared" si="2"/>
        <v>4</v>
      </c>
      <c r="D24" s="5">
        <f t="shared" si="2"/>
        <v>16</v>
      </c>
      <c r="E24" s="5">
        <f t="shared" si="2"/>
        <v>64</v>
      </c>
      <c r="F24" s="5">
        <f t="shared" si="2"/>
        <v>256</v>
      </c>
      <c r="G24" s="5">
        <f t="shared" si="2"/>
        <v>1024</v>
      </c>
    </row>
    <row r="25" spans="2:8">
      <c r="B25" s="4">
        <v>5</v>
      </c>
      <c r="C25" s="5">
        <f t="shared" si="2"/>
        <v>5</v>
      </c>
      <c r="D25" s="5">
        <f t="shared" si="2"/>
        <v>25</v>
      </c>
      <c r="E25" s="5">
        <f t="shared" si="2"/>
        <v>125</v>
      </c>
      <c r="F25" s="5">
        <f t="shared" si="2"/>
        <v>625</v>
      </c>
      <c r="G25" s="5">
        <f t="shared" si="2"/>
        <v>3125</v>
      </c>
    </row>
    <row r="29" spans="2:8" ht="19.5" customHeight="1">
      <c r="C29" s="17" t="s">
        <v>15</v>
      </c>
    </row>
    <row r="31" spans="2:8">
      <c r="B31" s="18"/>
    </row>
    <row r="32" spans="2:8">
      <c r="C32" s="18"/>
    </row>
    <row r="33" spans="2:11">
      <c r="B33" s="19" t="s">
        <v>16</v>
      </c>
      <c r="C33" s="19" t="s">
        <v>17</v>
      </c>
      <c r="D33" s="20" t="s">
        <v>18</v>
      </c>
      <c r="E33" s="3" t="s">
        <v>19</v>
      </c>
      <c r="F33" s="3" t="s">
        <v>20</v>
      </c>
      <c r="G33" s="3" t="s">
        <v>21</v>
      </c>
      <c r="J33" s="21" t="s">
        <v>22</v>
      </c>
      <c r="K33" s="21">
        <v>0.08</v>
      </c>
    </row>
    <row r="34" spans="2:11">
      <c r="B34" s="22" t="s">
        <v>23</v>
      </c>
      <c r="C34" s="22">
        <v>35839</v>
      </c>
      <c r="D34" s="22">
        <v>36852</v>
      </c>
      <c r="E34" s="5">
        <f>D34-C34</f>
        <v>1013</v>
      </c>
      <c r="F34" s="5">
        <f>E34*K$34</f>
        <v>13776.8</v>
      </c>
      <c r="G34" s="5">
        <f>F34*K$33</f>
        <v>1102.144</v>
      </c>
      <c r="J34" s="21" t="s">
        <v>24</v>
      </c>
      <c r="K34" s="21">
        <v>13.6</v>
      </c>
    </row>
    <row r="35" spans="2:11">
      <c r="B35" s="5" t="s">
        <v>25</v>
      </c>
      <c r="C35" s="5">
        <v>13538</v>
      </c>
      <c r="D35" s="5">
        <v>14011</v>
      </c>
      <c r="E35" s="5">
        <f t="shared" ref="E35:E43" si="3">D35-C35</f>
        <v>473</v>
      </c>
      <c r="F35" s="5">
        <f t="shared" ref="F35:F43" si="4">E35*K$34</f>
        <v>6432.8</v>
      </c>
      <c r="G35" s="5">
        <f t="shared" ref="G35:G43" si="5">F35*K$33</f>
        <v>514.62400000000002</v>
      </c>
    </row>
    <row r="36" spans="2:11">
      <c r="B36" s="5" t="s">
        <v>26</v>
      </c>
      <c r="C36" s="5">
        <v>20153</v>
      </c>
      <c r="D36" s="5">
        <v>20542</v>
      </c>
      <c r="E36" s="5">
        <f t="shared" si="3"/>
        <v>389</v>
      </c>
      <c r="F36" s="5">
        <f t="shared" si="4"/>
        <v>5290.4</v>
      </c>
      <c r="G36" s="5">
        <f t="shared" si="5"/>
        <v>423.23199999999997</v>
      </c>
    </row>
    <row r="37" spans="2:11">
      <c r="B37" s="5" t="s">
        <v>27</v>
      </c>
      <c r="C37" s="5">
        <v>28603</v>
      </c>
      <c r="D37" s="5">
        <v>29256</v>
      </c>
      <c r="E37" s="5">
        <f t="shared" si="3"/>
        <v>653</v>
      </c>
      <c r="F37" s="5">
        <f t="shared" si="4"/>
        <v>8880.7999999999993</v>
      </c>
      <c r="G37" s="5">
        <f t="shared" si="5"/>
        <v>710.46399999999994</v>
      </c>
    </row>
    <row r="38" spans="2:11">
      <c r="B38" s="5" t="s">
        <v>28</v>
      </c>
      <c r="C38" s="5">
        <v>32568</v>
      </c>
      <c r="D38" s="5">
        <v>33410</v>
      </c>
      <c r="E38" s="5">
        <f t="shared" si="3"/>
        <v>842</v>
      </c>
      <c r="F38" s="5">
        <f t="shared" si="4"/>
        <v>11451.199999999999</v>
      </c>
      <c r="G38" s="5">
        <f t="shared" si="5"/>
        <v>916.09599999999989</v>
      </c>
    </row>
    <row r="39" spans="2:11">
      <c r="B39" s="5" t="s">
        <v>29</v>
      </c>
      <c r="C39" s="5">
        <v>42398</v>
      </c>
      <c r="D39" s="5">
        <v>43630</v>
      </c>
      <c r="E39" s="5">
        <f t="shared" si="3"/>
        <v>1232</v>
      </c>
      <c r="F39" s="5">
        <f t="shared" si="4"/>
        <v>16755.2</v>
      </c>
      <c r="G39" s="5">
        <f t="shared" si="5"/>
        <v>1340.4160000000002</v>
      </c>
    </row>
    <row r="40" spans="2:11">
      <c r="B40" s="5" t="s">
        <v>30</v>
      </c>
      <c r="C40" s="5">
        <v>15644</v>
      </c>
      <c r="D40" s="5">
        <v>16731</v>
      </c>
      <c r="E40" s="5">
        <f t="shared" si="3"/>
        <v>1087</v>
      </c>
      <c r="F40" s="5">
        <f t="shared" si="4"/>
        <v>14783.199999999999</v>
      </c>
      <c r="G40" s="5">
        <f t="shared" si="5"/>
        <v>1182.6559999999999</v>
      </c>
    </row>
    <row r="41" spans="2:11">
      <c r="B41" s="5" t="s">
        <v>31</v>
      </c>
      <c r="C41" s="5">
        <v>22715</v>
      </c>
      <c r="D41" s="5">
        <v>23510</v>
      </c>
      <c r="E41" s="5">
        <f t="shared" si="3"/>
        <v>795</v>
      </c>
      <c r="F41" s="5">
        <f t="shared" si="4"/>
        <v>10812</v>
      </c>
      <c r="G41" s="5">
        <f t="shared" si="5"/>
        <v>864.96</v>
      </c>
    </row>
    <row r="42" spans="2:11">
      <c r="B42" s="5" t="s">
        <v>32</v>
      </c>
      <c r="C42" s="5">
        <v>9638</v>
      </c>
      <c r="D42" s="5">
        <v>10263</v>
      </c>
      <c r="E42" s="5">
        <f t="shared" si="3"/>
        <v>625</v>
      </c>
      <c r="F42" s="5">
        <f t="shared" si="4"/>
        <v>8500</v>
      </c>
      <c r="G42" s="5">
        <f t="shared" si="5"/>
        <v>680</v>
      </c>
    </row>
    <row r="43" spans="2:11">
      <c r="B43" s="5" t="s">
        <v>33</v>
      </c>
      <c r="C43" s="5">
        <v>17988</v>
      </c>
      <c r="D43" s="5">
        <v>18346</v>
      </c>
      <c r="E43" s="5">
        <f t="shared" si="3"/>
        <v>358</v>
      </c>
      <c r="F43" s="23">
        <f t="shared" si="4"/>
        <v>4868.8</v>
      </c>
      <c r="G43" s="23">
        <f t="shared" si="5"/>
        <v>389.50400000000002</v>
      </c>
    </row>
    <row r="44" spans="2:11">
      <c r="F44" s="24" t="s">
        <v>34</v>
      </c>
      <c r="G44" s="25">
        <f>SUM(G34:G43)</f>
        <v>8124.0960000000005</v>
      </c>
    </row>
    <row r="46" spans="2:11">
      <c r="B46" s="26" t="s">
        <v>35</v>
      </c>
    </row>
    <row r="48" spans="2:11">
      <c r="B48" s="5" t="s">
        <v>16</v>
      </c>
      <c r="C48" s="22" t="s">
        <v>36</v>
      </c>
      <c r="D48" s="27" t="s">
        <v>37</v>
      </c>
      <c r="E48" s="5" t="s">
        <v>38</v>
      </c>
      <c r="G48" t="s">
        <v>39</v>
      </c>
      <c r="I48" s="28" t="s">
        <v>40</v>
      </c>
    </row>
    <row r="49" spans="2:9">
      <c r="B49" s="5" t="s">
        <v>41</v>
      </c>
      <c r="C49" s="5" t="s">
        <v>42</v>
      </c>
      <c r="D49" s="27">
        <v>18</v>
      </c>
      <c r="E49" s="5" t="s">
        <v>43</v>
      </c>
      <c r="I49" t="s">
        <v>44</v>
      </c>
    </row>
    <row r="50" spans="2:9">
      <c r="B50" s="5" t="s">
        <v>45</v>
      </c>
      <c r="C50" s="5" t="s">
        <v>46</v>
      </c>
      <c r="D50" s="27">
        <v>35</v>
      </c>
      <c r="E50" s="5" t="s">
        <v>47</v>
      </c>
      <c r="I50" t="s">
        <v>43</v>
      </c>
    </row>
    <row r="51" spans="2:9">
      <c r="B51" s="5"/>
      <c r="C51" s="5"/>
      <c r="D51" s="27"/>
      <c r="E51" s="5"/>
      <c r="I51" t="s">
        <v>48</v>
      </c>
    </row>
    <row r="52" spans="2:9">
      <c r="B52" s="5"/>
      <c r="C52" s="5" t="s">
        <v>49</v>
      </c>
      <c r="D52" s="27"/>
      <c r="E52" s="5"/>
      <c r="I52" t="s">
        <v>47</v>
      </c>
    </row>
    <row r="53" spans="2:9">
      <c r="B53" s="5"/>
      <c r="C53" s="5"/>
      <c r="D53" s="27"/>
      <c r="E53" s="5"/>
      <c r="I53" t="s">
        <v>50</v>
      </c>
    </row>
    <row r="54" spans="2:9">
      <c r="B54" s="5"/>
      <c r="C54" s="5"/>
      <c r="D54" s="27"/>
      <c r="E54" s="5"/>
      <c r="I54" t="s">
        <v>51</v>
      </c>
    </row>
    <row r="55" spans="2:9">
      <c r="B55" s="5"/>
      <c r="C55" s="5"/>
      <c r="D55" s="27"/>
      <c r="E55" s="5"/>
    </row>
    <row r="56" spans="2:9">
      <c r="B56" s="5"/>
      <c r="C56" s="5"/>
      <c r="D56" s="27"/>
      <c r="E56" s="5"/>
    </row>
    <row r="59" spans="2:9">
      <c r="B59" s="29" t="s">
        <v>52</v>
      </c>
    </row>
    <row r="60" spans="2:9">
      <c r="D60" s="5" t="s">
        <v>53</v>
      </c>
      <c r="E60" t="s">
        <v>54</v>
      </c>
      <c r="F60" s="5" t="s">
        <v>55</v>
      </c>
      <c r="G60" s="5"/>
    </row>
    <row r="61" spans="2:9">
      <c r="B61" s="5">
        <v>64</v>
      </c>
      <c r="D61" s="5">
        <v>757</v>
      </c>
      <c r="F61" s="5" t="s">
        <v>56</v>
      </c>
      <c r="G61" s="5">
        <v>556</v>
      </c>
    </row>
    <row r="62" spans="2:9">
      <c r="B62" s="5">
        <v>6</v>
      </c>
      <c r="D62" s="5">
        <v>494</v>
      </c>
      <c r="F62" s="5" t="s">
        <v>57</v>
      </c>
      <c r="G62" s="5">
        <v>87</v>
      </c>
    </row>
    <row r="63" spans="2:9">
      <c r="B63" s="5">
        <v>17</v>
      </c>
      <c r="D63" s="5">
        <v>88</v>
      </c>
    </row>
    <row r="64" spans="2:9">
      <c r="B64" s="5">
        <v>28</v>
      </c>
      <c r="D64" s="5">
        <v>463</v>
      </c>
    </row>
    <row r="65" spans="2:6">
      <c r="B65" s="5">
        <v>11</v>
      </c>
      <c r="D65" s="5">
        <v>730</v>
      </c>
    </row>
    <row r="66" spans="2:6">
      <c r="B66" s="5">
        <v>24</v>
      </c>
      <c r="D66" s="5">
        <v>597</v>
      </c>
    </row>
    <row r="67" spans="2:6">
      <c r="B67" s="5">
        <v>83</v>
      </c>
      <c r="D67" s="5">
        <v>790</v>
      </c>
    </row>
    <row r="68" spans="2:6">
      <c r="B68" s="5">
        <v>39</v>
      </c>
      <c r="D68" s="5">
        <v>481</v>
      </c>
    </row>
    <row r="69" spans="2:6">
      <c r="D69" s="5">
        <v>460</v>
      </c>
    </row>
    <row r="73" spans="2:6">
      <c r="B73" s="35" t="s">
        <v>58</v>
      </c>
      <c r="C73" s="36" t="s">
        <v>59</v>
      </c>
      <c r="D73" s="37" t="s">
        <v>60</v>
      </c>
    </row>
    <row r="74" spans="2:6">
      <c r="B74" s="30">
        <v>3142</v>
      </c>
      <c r="C74" s="5">
        <v>7520</v>
      </c>
      <c r="D74" s="12">
        <v>6812</v>
      </c>
      <c r="F74" s="31">
        <v>6028</v>
      </c>
    </row>
    <row r="75" spans="2:6">
      <c r="B75" s="30">
        <v>2174</v>
      </c>
      <c r="C75" s="5">
        <v>3123</v>
      </c>
      <c r="D75" s="12">
        <v>8912</v>
      </c>
      <c r="F75" s="32">
        <v>2045</v>
      </c>
    </row>
    <row r="76" spans="2:6">
      <c r="B76" s="30">
        <v>8665</v>
      </c>
      <c r="C76" s="5">
        <v>7489</v>
      </c>
      <c r="D76" s="12">
        <v>1173</v>
      </c>
      <c r="F76" s="32">
        <v>1469</v>
      </c>
    </row>
    <row r="77" spans="2:6">
      <c r="B77" s="30">
        <v>3995</v>
      </c>
      <c r="C77" s="5">
        <v>8109</v>
      </c>
      <c r="D77" s="12">
        <v>3458</v>
      </c>
      <c r="F77" s="32">
        <v>4917</v>
      </c>
    </row>
    <row r="78" spans="2:6">
      <c r="B78" s="30">
        <v>5612</v>
      </c>
      <c r="C78" s="5">
        <v>1052</v>
      </c>
      <c r="D78" s="12">
        <v>2570</v>
      </c>
      <c r="F78" s="32">
        <v>4110</v>
      </c>
    </row>
    <row r="79" spans="2:6">
      <c r="B79" s="30">
        <v>3504</v>
      </c>
      <c r="C79" s="5">
        <v>1135</v>
      </c>
      <c r="D79" s="12">
        <v>2363</v>
      </c>
      <c r="F79" s="32">
        <v>4082</v>
      </c>
    </row>
    <row r="80" spans="2:6">
      <c r="B80" s="30">
        <v>8559</v>
      </c>
      <c r="C80" s="5">
        <v>8777</v>
      </c>
      <c r="D80" s="12">
        <v>3315</v>
      </c>
      <c r="F80" s="32">
        <v>4186</v>
      </c>
    </row>
    <row r="81" spans="2:6">
      <c r="B81" s="30">
        <v>7876</v>
      </c>
      <c r="C81" s="5">
        <v>8174</v>
      </c>
      <c r="D81" s="12">
        <v>796</v>
      </c>
      <c r="F81" s="32">
        <v>7744</v>
      </c>
    </row>
    <row r="82" spans="2:6">
      <c r="B82" s="30">
        <v>5255</v>
      </c>
      <c r="C82" s="5">
        <v>4377</v>
      </c>
      <c r="D82" s="12">
        <v>8647</v>
      </c>
      <c r="F82" s="32">
        <v>5000</v>
      </c>
    </row>
    <row r="83" spans="2:6">
      <c r="B83" s="30">
        <v>2112</v>
      </c>
      <c r="C83" s="5">
        <v>1821</v>
      </c>
      <c r="D83" s="12">
        <v>7840</v>
      </c>
      <c r="F83" s="32">
        <v>8435</v>
      </c>
    </row>
    <row r="84" spans="2:6">
      <c r="B84" s="30">
        <v>5975</v>
      </c>
      <c r="C84" s="5">
        <v>7775</v>
      </c>
      <c r="D84" s="12">
        <v>3682</v>
      </c>
      <c r="F84" s="32">
        <v>6011</v>
      </c>
    </row>
    <row r="85" spans="2:6">
      <c r="B85" s="30">
        <v>7932</v>
      </c>
      <c r="C85" s="5">
        <v>8860</v>
      </c>
      <c r="D85" s="12">
        <v>5521</v>
      </c>
      <c r="F85" s="32">
        <v>2120</v>
      </c>
    </row>
    <row r="86" spans="2:6">
      <c r="B86" s="30">
        <v>831</v>
      </c>
      <c r="C86" s="5">
        <v>8402</v>
      </c>
      <c r="D86" s="12">
        <v>4170</v>
      </c>
      <c r="F86" s="33">
        <v>1933</v>
      </c>
    </row>
    <row r="87" spans="2:6">
      <c r="B87" s="30">
        <v>8625</v>
      </c>
      <c r="C87" s="5">
        <v>8463</v>
      </c>
      <c r="D87" s="12">
        <v>6160</v>
      </c>
    </row>
    <row r="88" spans="2:6">
      <c r="B88" s="30">
        <v>1017</v>
      </c>
      <c r="C88" s="5">
        <v>8400</v>
      </c>
      <c r="D88" s="12">
        <v>8403</v>
      </c>
    </row>
    <row r="89" spans="2:6">
      <c r="B89" s="30">
        <v>1196</v>
      </c>
      <c r="C89" s="5">
        <v>939</v>
      </c>
      <c r="D89" s="12">
        <v>7373</v>
      </c>
    </row>
    <row r="90" spans="2:6">
      <c r="B90" s="30">
        <v>5759</v>
      </c>
      <c r="C90" s="5">
        <v>8242</v>
      </c>
      <c r="D90" s="12">
        <v>6724</v>
      </c>
    </row>
    <row r="91" spans="2:6">
      <c r="B91" s="30">
        <v>3478</v>
      </c>
      <c r="C91" s="5">
        <v>8994</v>
      </c>
      <c r="D91" s="12">
        <v>5521</v>
      </c>
    </row>
    <row r="92" spans="2:6">
      <c r="B92" s="30">
        <v>3684</v>
      </c>
      <c r="C92" s="5">
        <v>4688</v>
      </c>
      <c r="D92" s="12">
        <v>7829</v>
      </c>
    </row>
    <row r="93" spans="2:6">
      <c r="B93" s="30">
        <v>3714</v>
      </c>
      <c r="C93" s="5">
        <v>8609</v>
      </c>
      <c r="D93" s="12">
        <v>8651</v>
      </c>
    </row>
    <row r="94" spans="2:6">
      <c r="B94" s="30">
        <v>7083</v>
      </c>
      <c r="C94" s="5">
        <v>3786</v>
      </c>
      <c r="D94" s="12">
        <v>5294</v>
      </c>
    </row>
    <row r="95" spans="2:6">
      <c r="B95" s="30">
        <v>4729</v>
      </c>
      <c r="C95" s="5">
        <v>3741</v>
      </c>
      <c r="D95" s="12">
        <v>1754</v>
      </c>
    </row>
    <row r="96" spans="2:6">
      <c r="B96" s="30">
        <v>6806</v>
      </c>
      <c r="C96" s="5">
        <v>639</v>
      </c>
      <c r="D96" s="12">
        <v>4630</v>
      </c>
    </row>
    <row r="97" spans="2:4">
      <c r="B97" s="30">
        <v>5764</v>
      </c>
      <c r="C97" s="5">
        <v>5409</v>
      </c>
      <c r="D97" s="12">
        <v>8276</v>
      </c>
    </row>
    <row r="98" spans="2:4">
      <c r="B98" s="30">
        <v>4917</v>
      </c>
      <c r="C98" s="5">
        <v>6039</v>
      </c>
      <c r="D98" s="12">
        <v>7468</v>
      </c>
    </row>
    <row r="99" spans="2:4">
      <c r="B99" s="34">
        <v>7910</v>
      </c>
      <c r="C99" s="15">
        <v>5660</v>
      </c>
      <c r="D99" s="14">
        <v>7599</v>
      </c>
    </row>
  </sheetData>
  <conditionalFormatting sqref="B61:B68">
    <cfRule type="cellIs" dxfId="1" priority="4" operator="greaterThan">
      <formula>60</formula>
    </cfRule>
  </conditionalFormatting>
  <conditionalFormatting sqref="B61:B68">
    <cfRule type="cellIs" dxfId="0" priority="3" operator="lessThan">
      <formula>15</formula>
    </cfRule>
  </conditionalFormatting>
  <conditionalFormatting sqref="B73:D9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{BA0C3F6F-29C3-4424-8B3D-ACB801E7A3F0}</x14:id>
        </ext>
      </extLst>
    </cfRule>
  </conditionalFormatting>
  <dataValidations count="4">
    <dataValidation type="textLength" errorStyle="warning" operator="lessThan" allowBlank="1" showInputMessage="1" showErrorMessage="1" errorTitle="warning" error="input not more than 15 lettere" sqref="B49:B56" xr:uid="{A1E68299-5158-4F10-A13E-DB6A9F7ACCB2}">
      <formula1>15</formula1>
    </dataValidation>
    <dataValidation type="list" allowBlank="1" showInputMessage="1" showErrorMessage="1" errorTitle="error" error="please select from the list" sqref="C49:C56" xr:uid="{8496C4C8-A9C2-4457-B90D-49278041B85F}">
      <formula1>"female,male,others"</formula1>
    </dataValidation>
    <dataValidation type="whole" allowBlank="1" showInputMessage="1" showErrorMessage="1" errorTitle="error" error="not eligible for the role" sqref="D49:D56" xr:uid="{6D026790-15E5-4EAA-BF02-14A69F16A66A}">
      <formula1>18</formula1>
      <formula2>35</formula2>
    </dataValidation>
    <dataValidation type="list" errorStyle="warning" showInputMessage="1" showErrorMessage="1" errorTitle="select from list only" sqref="E49:E56" xr:uid="{08B577B8-2CD4-4F41-A4A9-ABA24B7165EA}">
      <formula1>$I$49:$I$55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0C3F6F-29C3-4424-8B3D-ACB801E7A3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B73:D99</xm:sqref>
        </x14:conditionalFormatting>
        <x14:conditionalFormatting xmlns:xm="http://schemas.microsoft.com/office/excel/2006/main">
          <x14:cfRule type="iconSet" priority="1" id="{491FF1F4-E35C-4E00-A436-D01955F215C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F74:F86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M.SANJANA SREE</cp:lastModifiedBy>
  <cp:revision/>
  <dcterms:created xsi:type="dcterms:W3CDTF">2026-07-12T13:39:29Z</dcterms:created>
  <dcterms:modified xsi:type="dcterms:W3CDTF">2026-07-12T13:51:11Z</dcterms:modified>
  <cp:category/>
  <cp:contentStatus/>
</cp:coreProperties>
</file>