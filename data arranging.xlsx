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797" documentId="11_E60897F41BE170836B02CE998F75CCDC64E183C8" xr6:coauthVersionLast="47" xr6:coauthVersionMax="47" xr10:uidLastSave="{358A95F4-1017-4B68-B015-360F48FB323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126" i="1" l="1"/>
  <c r="F127" i="1" s="1"/>
  <c r="C127" i="1"/>
  <c r="G48" i="1"/>
  <c r="G47" i="1" a="1"/>
  <c r="G47" i="1"/>
  <c r="G50" i="1" a="1"/>
  <c r="G50" i="1"/>
  <c r="G49" i="1"/>
  <c r="G10" i="1" a="1"/>
  <c r="G10" i="1"/>
  <c r="G11" i="1"/>
  <c r="G35" i="1"/>
  <c r="F82" i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80" i="1"/>
  <c r="F80" i="1"/>
  <c r="F81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81" i="1"/>
  <c r="C80" i="1"/>
  <c r="G30" i="1"/>
  <c r="G31" i="1"/>
  <c r="G32" i="1"/>
  <c r="G29" i="1"/>
  <c r="G28" i="1"/>
  <c r="G2" i="1"/>
  <c r="G6" i="1"/>
  <c r="A2" i="1"/>
  <c r="A1" i="1"/>
  <c r="G3" i="1"/>
  <c r="G4" i="1"/>
  <c r="G5" i="1" s="1"/>
  <c r="I83" i="1" l="1"/>
  <c r="I81" i="1"/>
  <c r="I80" i="1"/>
  <c r="H80" i="1"/>
  <c r="I84" i="1"/>
  <c r="L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<sst xmlns="http://schemas.openxmlformats.org/spreadsheetml/2006/main" count="427" uniqueCount="298">
  <si>
    <t>students marks</t>
  </si>
  <si>
    <t>students age</t>
  </si>
  <si>
    <t xml:space="preserve">TOTAL PRICE </t>
  </si>
  <si>
    <t>Bora</t>
  </si>
  <si>
    <t>avgs</t>
  </si>
  <si>
    <t>Pago Pago</t>
  </si>
  <si>
    <t>Wholesale</t>
  </si>
  <si>
    <t>Walla Walla</t>
  </si>
  <si>
    <t>Duran Duran</t>
  </si>
  <si>
    <t>Zsa Zsa</t>
  </si>
  <si>
    <t>Lulu Lulu</t>
  </si>
  <si>
    <t>Miu Miu</t>
  </si>
  <si>
    <t>Bibi Bibi</t>
  </si>
  <si>
    <t>Tata Tata</t>
  </si>
  <si>
    <t>Chacha Chacha</t>
  </si>
  <si>
    <t>conditions</t>
  </si>
  <si>
    <t>trim</t>
  </si>
  <si>
    <t>upper</t>
  </si>
  <si>
    <t>lower</t>
  </si>
  <si>
    <t>proper</t>
  </si>
  <si>
    <t xml:space="preserve">left &amp; right </t>
  </si>
  <si>
    <t>Daniel</t>
  </si>
  <si>
    <t>DANIEL</t>
  </si>
  <si>
    <t>daniel</t>
  </si>
  <si>
    <t xml:space="preserve"> Olivia</t>
  </si>
  <si>
    <t>Olivia</t>
  </si>
  <si>
    <t>OLIVIA</t>
  </si>
  <si>
    <t>olivia</t>
  </si>
  <si>
    <t xml:space="preserve"> James</t>
  </si>
  <si>
    <t>James</t>
  </si>
  <si>
    <t>JAMES</t>
  </si>
  <si>
    <t>james</t>
  </si>
  <si>
    <t xml:space="preserve"> Ava</t>
  </si>
  <si>
    <t>Ava</t>
  </si>
  <si>
    <t>AVA</t>
  </si>
  <si>
    <t>ava</t>
  </si>
  <si>
    <t xml:space="preserve"> William</t>
  </si>
  <si>
    <t>William</t>
  </si>
  <si>
    <t>WILLIAM</t>
  </si>
  <si>
    <t>william</t>
  </si>
  <si>
    <t xml:space="preserve"> Mia</t>
  </si>
  <si>
    <t>Mia</t>
  </si>
  <si>
    <t>MIA</t>
  </si>
  <si>
    <t>mia</t>
  </si>
  <si>
    <t xml:space="preserve"> Ethan</t>
  </si>
  <si>
    <t>Ethan</t>
  </si>
  <si>
    <t>ETHAN</t>
  </si>
  <si>
    <t>ethan</t>
  </si>
  <si>
    <t xml:space="preserve"> Charlotte</t>
  </si>
  <si>
    <t>Charlotte</t>
  </si>
  <si>
    <t>CHARLOTTE</t>
  </si>
  <si>
    <t>charlotte</t>
  </si>
  <si>
    <t xml:space="preserve"> Alexander</t>
  </si>
  <si>
    <t>Alexander</t>
  </si>
  <si>
    <t>ALEXANDER</t>
  </si>
  <si>
    <t>alexander</t>
  </si>
  <si>
    <t xml:space="preserve"> Isabella</t>
  </si>
  <si>
    <t>Isabella</t>
  </si>
  <si>
    <t>ISABELLA</t>
  </si>
  <si>
    <t>isabella</t>
  </si>
  <si>
    <t xml:space="preserve"> Henry</t>
  </si>
  <si>
    <t>Henry</t>
  </si>
  <si>
    <t>HENRY</t>
  </si>
  <si>
    <t>henry</t>
  </si>
  <si>
    <t xml:space="preserve"> Amelia</t>
  </si>
  <si>
    <t>Amelia</t>
  </si>
  <si>
    <t>AMELIA</t>
  </si>
  <si>
    <t>amelia</t>
  </si>
  <si>
    <t xml:space="preserve"> Jackson</t>
  </si>
  <si>
    <t>Jackson</t>
  </si>
  <si>
    <t>JACKSON</t>
  </si>
  <si>
    <t>jackson</t>
  </si>
  <si>
    <t xml:space="preserve"> Evelyn</t>
  </si>
  <si>
    <t>Evelyn</t>
  </si>
  <si>
    <t>EVELYN</t>
  </si>
  <si>
    <t>evelyn</t>
  </si>
  <si>
    <t xml:space="preserve"> Sebastian</t>
  </si>
  <si>
    <t>Sebastian</t>
  </si>
  <si>
    <t>SEBASTIAN</t>
  </si>
  <si>
    <t>sebastian</t>
  </si>
  <si>
    <t xml:space="preserve"> Harper</t>
  </si>
  <si>
    <t>Harper</t>
  </si>
  <si>
    <t>HARPER</t>
  </si>
  <si>
    <t>harper</t>
  </si>
  <si>
    <t xml:space="preserve"> Matthew</t>
  </si>
  <si>
    <t>Matthew</t>
  </si>
  <si>
    <t>MATTHEW</t>
  </si>
  <si>
    <t>matthew</t>
  </si>
  <si>
    <t xml:space="preserve"> Ella</t>
  </si>
  <si>
    <t>Ella</t>
  </si>
  <si>
    <t>ELLA</t>
  </si>
  <si>
    <t>ella</t>
  </si>
  <si>
    <t xml:space="preserve"> David</t>
  </si>
  <si>
    <t>David</t>
  </si>
  <si>
    <t>DAVID</t>
  </si>
  <si>
    <t>david</t>
  </si>
  <si>
    <t xml:space="preserve"> Grace</t>
  </si>
  <si>
    <t>Grace</t>
  </si>
  <si>
    <t>GRACE</t>
  </si>
  <si>
    <t>grace</t>
  </si>
  <si>
    <t xml:space="preserve"> Joseph</t>
  </si>
  <si>
    <t>Joseph</t>
  </si>
  <si>
    <t>JOSEPH</t>
  </si>
  <si>
    <t>joseph</t>
  </si>
  <si>
    <t xml:space="preserve"> Lily</t>
  </si>
  <si>
    <t>Lily</t>
  </si>
  <si>
    <t>LILY</t>
  </si>
  <si>
    <t>lily</t>
  </si>
  <si>
    <t xml:space="preserve"> Samuel</t>
  </si>
  <si>
    <t>Samuel</t>
  </si>
  <si>
    <t>SAMUEL</t>
  </si>
  <si>
    <t>samuel</t>
  </si>
  <si>
    <t xml:space="preserve"> Aria</t>
  </si>
  <si>
    <t>Aria</t>
  </si>
  <si>
    <t>ARIA</t>
  </si>
  <si>
    <t>aria</t>
  </si>
  <si>
    <t xml:space="preserve"> Gabriel</t>
  </si>
  <si>
    <t>Gabriel</t>
  </si>
  <si>
    <t>GABRIEL</t>
  </si>
  <si>
    <t>gabriel</t>
  </si>
  <si>
    <t xml:space="preserve"> Scarlett</t>
  </si>
  <si>
    <t>Scarlett</t>
  </si>
  <si>
    <t>SCARLETT</t>
  </si>
  <si>
    <t>scarlett</t>
  </si>
  <si>
    <t xml:space="preserve"> Andrew</t>
  </si>
  <si>
    <t>Andrew</t>
  </si>
  <si>
    <t>ANDREW</t>
  </si>
  <si>
    <t>andrew</t>
  </si>
  <si>
    <t xml:space="preserve"> Hannah</t>
  </si>
  <si>
    <t>Hannah</t>
  </si>
  <si>
    <t>HANNAH</t>
  </si>
  <si>
    <t>hannah</t>
  </si>
  <si>
    <t xml:space="preserve"> Christopher</t>
  </si>
  <si>
    <t>Christopher</t>
  </si>
  <si>
    <t>CHRISTOPHER</t>
  </si>
  <si>
    <t>christopher</t>
  </si>
  <si>
    <t xml:space="preserve"> Zoey</t>
  </si>
  <si>
    <t>Zoey</t>
  </si>
  <si>
    <t>ZOEY</t>
  </si>
  <si>
    <t>zoey</t>
  </si>
  <si>
    <t xml:space="preserve"> Anthony</t>
  </si>
  <si>
    <t>Anthony</t>
  </si>
  <si>
    <t>ANTHONY</t>
  </si>
  <si>
    <t>anthony</t>
  </si>
  <si>
    <t xml:space="preserve"> Nora</t>
  </si>
  <si>
    <t>Nora</t>
  </si>
  <si>
    <t>NORA</t>
  </si>
  <si>
    <t>nora</t>
  </si>
  <si>
    <t xml:space="preserve"> Dylan</t>
  </si>
  <si>
    <t>Dylan</t>
  </si>
  <si>
    <t>DYLAN</t>
  </si>
  <si>
    <t>dylan</t>
  </si>
  <si>
    <t xml:space="preserve"> Stella</t>
  </si>
  <si>
    <t>Stella</t>
  </si>
  <si>
    <t>STELLA</t>
  </si>
  <si>
    <t>stella</t>
  </si>
  <si>
    <t xml:space="preserve"> Isaac</t>
  </si>
  <si>
    <t>Isaac</t>
  </si>
  <si>
    <t>ISAAC</t>
  </si>
  <si>
    <t>isaac</t>
  </si>
  <si>
    <t xml:space="preserve"> Natalie</t>
  </si>
  <si>
    <t>Natalie</t>
  </si>
  <si>
    <t>NATALIE</t>
  </si>
  <si>
    <t>natalie</t>
  </si>
  <si>
    <t xml:space="preserve"> Luke</t>
  </si>
  <si>
    <t>Luke</t>
  </si>
  <si>
    <t>LUKE</t>
  </si>
  <si>
    <t>luke</t>
  </si>
  <si>
    <t xml:space="preserve"> Leah</t>
  </si>
  <si>
    <t>Leah</t>
  </si>
  <si>
    <t>LEAH</t>
  </si>
  <si>
    <t>leah</t>
  </si>
  <si>
    <t xml:space="preserve"> Jack</t>
  </si>
  <si>
    <t>Jack</t>
  </si>
  <si>
    <t>JACK</t>
  </si>
  <si>
    <t>jack</t>
  </si>
  <si>
    <t xml:space="preserve"> Violet</t>
  </si>
  <si>
    <t>Violet</t>
  </si>
  <si>
    <t>VIOLET</t>
  </si>
  <si>
    <t>violet</t>
  </si>
  <si>
    <t xml:space="preserve"> Wyatt</t>
  </si>
  <si>
    <t>Wyatt</t>
  </si>
  <si>
    <t>WYATT</t>
  </si>
  <si>
    <t>wyatt</t>
  </si>
  <si>
    <t xml:space="preserve"> Aurora</t>
  </si>
  <si>
    <t>Aurora</t>
  </si>
  <si>
    <t>AURORA</t>
  </si>
  <si>
    <t>aurora</t>
  </si>
  <si>
    <t xml:space="preserve"> Julian</t>
  </si>
  <si>
    <t>Julian</t>
  </si>
  <si>
    <t>JULIAN</t>
  </si>
  <si>
    <t>julian</t>
  </si>
  <si>
    <t xml:space="preserve"> Hazel</t>
  </si>
  <si>
    <t>Hazel</t>
  </si>
  <si>
    <t>HAZEL</t>
  </si>
  <si>
    <t>hazel</t>
  </si>
  <si>
    <t xml:space="preserve"> Eli</t>
  </si>
  <si>
    <t>Eli</t>
  </si>
  <si>
    <t>ELI</t>
  </si>
  <si>
    <t>eli</t>
  </si>
  <si>
    <t xml:space="preserve"> Penelope</t>
  </si>
  <si>
    <t>Penelope</t>
  </si>
  <si>
    <t>PENELOPE</t>
  </si>
  <si>
    <t>penelope</t>
  </si>
  <si>
    <t xml:space="preserve"> Hunter</t>
  </si>
  <si>
    <t>Hunter</t>
  </si>
  <si>
    <t>HUNTER</t>
  </si>
  <si>
    <t>hunter</t>
  </si>
  <si>
    <t xml:space="preserve"> Lucy</t>
  </si>
  <si>
    <t>Lucy</t>
  </si>
  <si>
    <t>LUCY</t>
  </si>
  <si>
    <t>lucy</t>
  </si>
  <si>
    <t>ARRANGING THE DATA</t>
  </si>
  <si>
    <t>John Smith</t>
  </si>
  <si>
    <t>John</t>
  </si>
  <si>
    <t>Smith</t>
  </si>
  <si>
    <t xml:space="preserve"> Emily Johnson</t>
  </si>
  <si>
    <t>Emily</t>
  </si>
  <si>
    <t>Johnson</t>
  </si>
  <si>
    <t xml:space="preserve"> Michael Brown</t>
  </si>
  <si>
    <t>Michael</t>
  </si>
  <si>
    <t>Brown</t>
  </si>
  <si>
    <t xml:space="preserve"> Sophia Davis</t>
  </si>
  <si>
    <t>Sophia</t>
  </si>
  <si>
    <t>Davis</t>
  </si>
  <si>
    <t xml:space="preserve"> Daniel Miller</t>
  </si>
  <si>
    <t>Miller</t>
  </si>
  <si>
    <t xml:space="preserve"> Olivia Wilson</t>
  </si>
  <si>
    <t>Wilson</t>
  </si>
  <si>
    <t xml:space="preserve"> James Taylor</t>
  </si>
  <si>
    <t>Taylor</t>
  </si>
  <si>
    <t xml:space="preserve"> Ava Anderson</t>
  </si>
  <si>
    <t>Anderson</t>
  </si>
  <si>
    <t xml:space="preserve"> William Thomas</t>
  </si>
  <si>
    <t>Thomas</t>
  </si>
  <si>
    <t xml:space="preserve"> Mia Moore</t>
  </si>
  <si>
    <t>Moore</t>
  </si>
  <si>
    <t xml:space="preserve"> Ethan Jackson</t>
  </si>
  <si>
    <t xml:space="preserve"> Charlotte Martin</t>
  </si>
  <si>
    <t>Martin</t>
  </si>
  <si>
    <t xml:space="preserve"> Alexander Lee</t>
  </si>
  <si>
    <t>Lee</t>
  </si>
  <si>
    <t xml:space="preserve"> Isabella Perez</t>
  </si>
  <si>
    <t>Perez</t>
  </si>
  <si>
    <t xml:space="preserve"> Henry Thompson</t>
  </si>
  <si>
    <t>Thompson</t>
  </si>
  <si>
    <t xml:space="preserve"> Amelia White</t>
  </si>
  <si>
    <t>White</t>
  </si>
  <si>
    <t xml:space="preserve"> Jackson Harris</t>
  </si>
  <si>
    <t>Harris</t>
  </si>
  <si>
    <t xml:space="preserve"> Evelyn Clark</t>
  </si>
  <si>
    <t>Clark</t>
  </si>
  <si>
    <t xml:space="preserve"> Sebastian Lewis</t>
  </si>
  <si>
    <t>Lewis</t>
  </si>
  <si>
    <t xml:space="preserve"> Harper Robinson</t>
  </si>
  <si>
    <t>Robinson</t>
  </si>
  <si>
    <t xml:space="preserve"> Matthew Walker</t>
  </si>
  <si>
    <t>Walker</t>
  </si>
  <si>
    <t xml:space="preserve"> Ella Young</t>
  </si>
  <si>
    <t>Young</t>
  </si>
  <si>
    <t xml:space="preserve"> David Hall</t>
  </si>
  <si>
    <t>Hall</t>
  </si>
  <si>
    <t xml:space="preserve"> Grace Allen</t>
  </si>
  <si>
    <t>Allen</t>
  </si>
  <si>
    <t xml:space="preserve"> Joseph King</t>
  </si>
  <si>
    <t>King</t>
  </si>
  <si>
    <t xml:space="preserve"> Lily Scott</t>
  </si>
  <si>
    <t>Scott</t>
  </si>
  <si>
    <t xml:space="preserve"> Samuel Green</t>
  </si>
  <si>
    <t>Green</t>
  </si>
  <si>
    <t xml:space="preserve"> Aria Adams</t>
  </si>
  <si>
    <t>Adams</t>
  </si>
  <si>
    <t xml:space="preserve"> Gabriel Baker</t>
  </si>
  <si>
    <t>Baker</t>
  </si>
  <si>
    <t xml:space="preserve"> Scarlett Nelson</t>
  </si>
  <si>
    <t>Nelson</t>
  </si>
  <si>
    <t xml:space="preserve"> Andrew Carter</t>
  </si>
  <si>
    <t>Carter</t>
  </si>
  <si>
    <t xml:space="preserve"> Hannah Mitchell</t>
  </si>
  <si>
    <t>Mitchell</t>
  </si>
  <si>
    <t xml:space="preserve"> Christopher Roberts</t>
  </si>
  <si>
    <t>Roberts</t>
  </si>
  <si>
    <t xml:space="preserve"> Zoey Turner</t>
  </si>
  <si>
    <t>Turner</t>
  </si>
  <si>
    <t xml:space="preserve"> Anthony Phillips</t>
  </si>
  <si>
    <t>Phillips</t>
  </si>
  <si>
    <t xml:space="preserve"> Nora Campbell</t>
  </si>
  <si>
    <t>Campbell</t>
  </si>
  <si>
    <t xml:space="preserve"> Dylan Parker</t>
  </si>
  <si>
    <t>Parker</t>
  </si>
  <si>
    <t xml:space="preserve"> Stella Evans</t>
  </si>
  <si>
    <t>Evans</t>
  </si>
  <si>
    <t xml:space="preserve"> Isaac Edwards</t>
  </si>
  <si>
    <t>Edwards</t>
  </si>
  <si>
    <t xml:space="preserve"> Natalie Collins</t>
  </si>
  <si>
    <t>Collins</t>
  </si>
  <si>
    <t xml:space="preserve"> Luke Stewart</t>
  </si>
  <si>
    <t>Stewart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</si>
</sst>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.000%"/>
    <numFmt numFmtId="166" formatCode="00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u val="double"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6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 applyBorder="1" applyAlignment="1"/>
    <xf numFmtId="0" fontId="2" fillId="2" borderId="0" xfId="0" applyFont="1" applyFill="1" applyBorder="1" applyAlignme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3" fillId="0" borderId="0" xfId="0" applyNumberFormat="1" applyFont="1"/>
    <xf numFmtId="0" fontId="4" fillId="0" borderId="0" xfId="0" applyFont="1" applyBorder="1" applyAlignment="1"/>
    <xf numFmtId="0" fontId="0" fillId="0" borderId="0" xfId="0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5" fillId="0" borderId="0" xfId="0" applyFont="1" applyAlignment="1">
      <alignment wrapText="1"/>
    </xf>
    <xf numFmtId="49" fontId="0" fillId="0" borderId="0" xfId="0" applyNumberFormat="1"/>
    <xf numFmtId="0" fontId="1" fillId="4" borderId="0" xfId="0" applyFont="1" applyFill="1"/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127"/>
  <sheetViews>
    <sheetView tabSelected="1" topLeftCell="A73" workbookViewId="0">
      <selection activeCell="B78" sqref="B78"/>
    </sheetView>
  </sheetViews>
  <sheetFormatPr defaultRowHeight="15"/>
  <cols>
    <col min="2" max="2" width="23.140625" customWidth="1"/>
    <col min="3" max="3" width="18.85546875" customWidth="1"/>
    <col min="4" max="4" width="18.140625" customWidth="1"/>
    <col min="5" max="5" width="17.5703125" customWidth="1"/>
    <col min="6" max="6" width="29.42578125" customWidth="1"/>
    <col min="7" max="7" width="33.140625" customWidth="1"/>
    <col min="8" max="8" width="15.7109375" customWidth="1"/>
    <col min="9" max="9" width="15.28515625" customWidth="1"/>
    <col min="10" max="10" width="19.7109375" customWidth="1"/>
    <col min="11" max="11" width="21.85546875" customWidth="1"/>
    <col min="13" max="13" width="10" bestFit="1" customWidth="1"/>
    <col min="28" max="28" width="13.42578125" customWidth="1"/>
  </cols>
  <sheetData>
    <row r="1" spans="1:13">
      <c r="A1">
        <f>SUM(C3:C10)</f>
        <v>264</v>
      </c>
      <c r="B1" t="s">
        <v>0</v>
      </c>
      <c r="C1" t="s">
        <v>1</v>
      </c>
      <c r="H1" s="8" t="s">
        <v>2</v>
      </c>
    </row>
    <row r="2" spans="1:13">
      <c r="A2">
        <f>SUM(C2:C5)</f>
        <v>10</v>
      </c>
      <c r="B2">
        <v>1</v>
      </c>
      <c r="C2">
        <v>1</v>
      </c>
      <c r="D2">
        <v>1</v>
      </c>
      <c r="E2">
        <v>1</v>
      </c>
      <c r="F2">
        <v>10</v>
      </c>
      <c r="G2">
        <f>F2+E2</f>
        <v>11</v>
      </c>
      <c r="H2">
        <v>6785</v>
      </c>
    </row>
    <row r="3" spans="1:13">
      <c r="B3">
        <v>2</v>
      </c>
      <c r="C3">
        <v>2</v>
      </c>
      <c r="D3" s="1">
        <v>2</v>
      </c>
      <c r="E3">
        <v>2</v>
      </c>
      <c r="F3" s="1">
        <v>2</v>
      </c>
      <c r="G3">
        <f t="shared" ref="G3:G4" si="0">F3+E3</f>
        <v>4</v>
      </c>
      <c r="H3">
        <v>568539</v>
      </c>
    </row>
    <row r="4" spans="1:13">
      <c r="B4">
        <v>3</v>
      </c>
      <c r="C4">
        <v>3</v>
      </c>
      <c r="D4">
        <v>3</v>
      </c>
      <c r="E4">
        <v>3</v>
      </c>
      <c r="F4">
        <v>3</v>
      </c>
      <c r="G4">
        <f t="shared" si="0"/>
        <v>6</v>
      </c>
      <c r="H4">
        <v>6454</v>
      </c>
      <c r="I4" s="6"/>
      <c r="K4" s="2" t="s">
        <v>3</v>
      </c>
      <c r="M4" s="9" t="s">
        <v>4</v>
      </c>
    </row>
    <row r="5" spans="1:13">
      <c r="B5">
        <v>4</v>
      </c>
      <c r="C5">
        <v>4</v>
      </c>
      <c r="D5">
        <v>4</v>
      </c>
      <c r="E5">
        <v>4</v>
      </c>
      <c r="F5">
        <v>4</v>
      </c>
      <c r="G5" t="e">
        <f>G4+K5</f>
        <v>#VALUE!</v>
      </c>
      <c r="H5">
        <v>645</v>
      </c>
      <c r="I5" s="7"/>
      <c r="K5" s="2" t="s">
        <v>5</v>
      </c>
      <c r="M5" s="4" t="s">
        <v>6</v>
      </c>
    </row>
    <row r="6" spans="1:13">
      <c r="B6">
        <v>5</v>
      </c>
      <c r="C6">
        <v>5</v>
      </c>
      <c r="D6">
        <v>5</v>
      </c>
      <c r="E6">
        <v>5</v>
      </c>
      <c r="F6">
        <v>5</v>
      </c>
      <c r="G6">
        <f>F227+E227</f>
        <v>0</v>
      </c>
      <c r="H6">
        <v>214</v>
      </c>
      <c r="K6" s="2" t="s">
        <v>7</v>
      </c>
      <c r="M6" s="3" t="s">
        <v>6</v>
      </c>
    </row>
    <row r="7" spans="1:13">
      <c r="B7">
        <v>226</v>
      </c>
      <c r="C7">
        <v>226</v>
      </c>
      <c r="D7" s="1">
        <v>226</v>
      </c>
      <c r="E7">
        <v>226</v>
      </c>
      <c r="F7">
        <v>226</v>
      </c>
      <c r="H7">
        <v>67845</v>
      </c>
      <c r="I7" s="5">
        <v>20458</v>
      </c>
      <c r="K7" s="2" t="s">
        <v>8</v>
      </c>
      <c r="L7" t="e">
        <f>AVERAGE(G2:G5)</f>
        <v>#VALUE!</v>
      </c>
      <c r="M7" s="4" t="s">
        <v>4</v>
      </c>
    </row>
    <row r="8" spans="1:13">
      <c r="B8">
        <v>7</v>
      </c>
      <c r="C8">
        <v>7</v>
      </c>
      <c r="D8">
        <v>7</v>
      </c>
      <c r="E8">
        <v>7</v>
      </c>
      <c r="F8">
        <v>7</v>
      </c>
      <c r="I8" s="5">
        <v>12483</v>
      </c>
      <c r="K8" s="2" t="s">
        <v>9</v>
      </c>
      <c r="M8" s="3" t="s">
        <v>6</v>
      </c>
    </row>
    <row r="9" spans="1:13">
      <c r="B9">
        <v>8</v>
      </c>
      <c r="C9">
        <v>8</v>
      </c>
      <c r="D9">
        <v>8</v>
      </c>
      <c r="E9">
        <v>8</v>
      </c>
      <c r="F9">
        <v>8</v>
      </c>
      <c r="I9" s="5">
        <v>32972</v>
      </c>
      <c r="K9" s="2" t="s">
        <v>10</v>
      </c>
      <c r="M9" s="3" t="s">
        <v>4</v>
      </c>
    </row>
    <row r="10" spans="1:13">
      <c r="B10">
        <v>9</v>
      </c>
      <c r="C10">
        <v>9</v>
      </c>
      <c r="D10">
        <v>9</v>
      </c>
      <c r="E10">
        <v>9</v>
      </c>
      <c r="F10">
        <v>9</v>
      </c>
      <c r="G10" t="e" cm="1" vm="1">
        <f t="array" aca="1" ref="G10" ca="1">LEN(E8:E10)</f>
        <v>#VALUE!</v>
      </c>
      <c r="K10" s="2" t="s">
        <v>11</v>
      </c>
      <c r="M10" s="4" t="s">
        <v>6</v>
      </c>
    </row>
    <row r="11" spans="1:13">
      <c r="B11">
        <v>10</v>
      </c>
      <c r="C11">
        <v>10</v>
      </c>
      <c r="D11">
        <v>10</v>
      </c>
      <c r="E11">
        <v>10</v>
      </c>
      <c r="F11">
        <v>10</v>
      </c>
      <c r="G11">
        <f>COUNT(B11:F11)</f>
        <v>5</v>
      </c>
      <c r="K11" s="2" t="s">
        <v>12</v>
      </c>
      <c r="M11" s="3" t="s">
        <v>6</v>
      </c>
    </row>
    <row r="12" spans="1:13">
      <c r="B12">
        <v>11</v>
      </c>
      <c r="C12">
        <v>11</v>
      </c>
      <c r="D12">
        <v>11</v>
      </c>
      <c r="E12">
        <v>11</v>
      </c>
      <c r="F12">
        <v>11</v>
      </c>
      <c r="K12" s="2" t="s">
        <v>13</v>
      </c>
      <c r="M12" s="3" t="s">
        <v>4</v>
      </c>
    </row>
    <row r="13" spans="1:13">
      <c r="B13">
        <v>12</v>
      </c>
      <c r="C13">
        <v>12</v>
      </c>
      <c r="D13">
        <v>12</v>
      </c>
      <c r="E13">
        <v>12</v>
      </c>
      <c r="F13">
        <v>12</v>
      </c>
      <c r="K13" s="2" t="s">
        <v>14</v>
      </c>
      <c r="M13" s="3" t="s">
        <v>6</v>
      </c>
    </row>
    <row r="14" spans="1:13">
      <c r="B14">
        <v>13</v>
      </c>
      <c r="C14">
        <v>13</v>
      </c>
      <c r="D14">
        <v>13</v>
      </c>
      <c r="E14">
        <v>13</v>
      </c>
      <c r="F14">
        <v>13</v>
      </c>
      <c r="M14" s="3" t="s">
        <v>4</v>
      </c>
    </row>
    <row r="15" spans="1:13">
      <c r="B15">
        <v>14</v>
      </c>
      <c r="C15">
        <v>14</v>
      </c>
      <c r="D15">
        <v>14</v>
      </c>
      <c r="E15">
        <v>14</v>
      </c>
      <c r="F15">
        <v>14</v>
      </c>
      <c r="M15" s="3" t="s">
        <v>4</v>
      </c>
    </row>
    <row r="16" spans="1:13">
      <c r="B16">
        <v>15</v>
      </c>
      <c r="C16">
        <v>15</v>
      </c>
      <c r="D16">
        <v>15</v>
      </c>
      <c r="E16">
        <v>15</v>
      </c>
      <c r="F16">
        <v>15</v>
      </c>
      <c r="M16" s="3" t="s">
        <v>6</v>
      </c>
    </row>
    <row r="17" spans="1:13">
      <c r="B17">
        <v>1226</v>
      </c>
      <c r="C17">
        <v>1226</v>
      </c>
      <c r="D17">
        <v>1226</v>
      </c>
      <c r="E17">
        <v>1226</v>
      </c>
      <c r="F17">
        <v>1226</v>
      </c>
      <c r="M17" s="3" t="s">
        <v>4</v>
      </c>
    </row>
    <row r="18" spans="1:13">
      <c r="B18">
        <v>17</v>
      </c>
      <c r="C18">
        <v>17</v>
      </c>
      <c r="D18">
        <v>17</v>
      </c>
      <c r="E18">
        <v>17</v>
      </c>
      <c r="F18">
        <v>17</v>
      </c>
      <c r="M18" s="3" t="s">
        <v>6</v>
      </c>
    </row>
    <row r="19" spans="1:13">
      <c r="B19">
        <v>18</v>
      </c>
      <c r="C19">
        <v>18</v>
      </c>
      <c r="D19">
        <v>18</v>
      </c>
      <c r="E19">
        <v>18</v>
      </c>
      <c r="F19">
        <v>18</v>
      </c>
      <c r="M19" s="3" t="s">
        <v>6</v>
      </c>
    </row>
    <row r="20" spans="1:13">
      <c r="B20">
        <v>19</v>
      </c>
      <c r="C20">
        <v>19</v>
      </c>
      <c r="D20">
        <v>19</v>
      </c>
      <c r="E20">
        <v>19</v>
      </c>
      <c r="F20">
        <v>19</v>
      </c>
      <c r="M20" s="3" t="s">
        <v>4</v>
      </c>
    </row>
    <row r="21" spans="1:13">
      <c r="B21">
        <v>20</v>
      </c>
      <c r="C21">
        <v>20</v>
      </c>
      <c r="D21">
        <v>20</v>
      </c>
      <c r="E21">
        <v>20</v>
      </c>
      <c r="F21">
        <v>20</v>
      </c>
      <c r="M21" s="3" t="s">
        <v>4</v>
      </c>
    </row>
    <row r="22" spans="1:13">
      <c r="B22">
        <v>21</v>
      </c>
      <c r="C22">
        <v>21</v>
      </c>
      <c r="D22">
        <v>21</v>
      </c>
      <c r="E22">
        <v>21</v>
      </c>
      <c r="F22">
        <v>21</v>
      </c>
      <c r="M22" s="3" t="s">
        <v>4</v>
      </c>
    </row>
    <row r="23" spans="1:13">
      <c r="B23">
        <v>22</v>
      </c>
      <c r="C23">
        <v>22</v>
      </c>
      <c r="D23">
        <v>22</v>
      </c>
      <c r="E23">
        <v>22</v>
      </c>
      <c r="F23">
        <v>22</v>
      </c>
      <c r="M23" s="3" t="s">
        <v>6</v>
      </c>
    </row>
    <row r="24" spans="1:13">
      <c r="M24" s="3" t="s">
        <v>4</v>
      </c>
    </row>
    <row r="25" spans="1:13">
      <c r="B25" s="15" t="s">
        <v>15</v>
      </c>
      <c r="M25" s="3"/>
    </row>
    <row r="26" spans="1:13">
      <c r="B26" s="10"/>
      <c r="M26" s="3"/>
    </row>
    <row r="27" spans="1:13" ht="21" customHeight="1">
      <c r="C27" s="12" t="s">
        <v>16</v>
      </c>
      <c r="D27" s="11" t="s">
        <v>17</v>
      </c>
      <c r="E27" s="11" t="s">
        <v>18</v>
      </c>
      <c r="F27" s="11" t="s">
        <v>19</v>
      </c>
      <c r="G27" s="13" t="s">
        <v>20</v>
      </c>
      <c r="M27" s="3" t="s">
        <v>4</v>
      </c>
    </row>
    <row r="28" spans="1:13">
      <c r="A28">
        <v>1</v>
      </c>
      <c r="B28" s="10" t="s">
        <v>21</v>
      </c>
      <c r="C28" s="14" t="s">
        <v>21</v>
      </c>
      <c r="D28" t="s">
        <v>22</v>
      </c>
      <c r="E28" t="s">
        <v>23</v>
      </c>
      <c r="F28" t="s">
        <v>21</v>
      </c>
      <c r="G28" s="10" t="str">
        <f>LEFT(F28,1)</f>
        <v>D</v>
      </c>
      <c r="M28" s="3" t="s">
        <v>6</v>
      </c>
    </row>
    <row r="29" spans="1:13">
      <c r="A29">
        <v>2</v>
      </c>
      <c r="B29" t="s">
        <v>24</v>
      </c>
      <c r="C29" t="s">
        <v>25</v>
      </c>
      <c r="D29" t="s">
        <v>26</v>
      </c>
      <c r="E29" t="s">
        <v>27</v>
      </c>
      <c r="F29" t="s">
        <v>25</v>
      </c>
      <c r="G29" t="str">
        <f>LEFT(F29,3)</f>
        <v>Oli</v>
      </c>
      <c r="M29" s="3" t="s">
        <v>4</v>
      </c>
    </row>
    <row r="30" spans="1:13">
      <c r="A30">
        <v>3</v>
      </c>
      <c r="B30" t="s">
        <v>28</v>
      </c>
      <c r="C30" t="s">
        <v>29</v>
      </c>
      <c r="D30" t="s">
        <v>30</v>
      </c>
      <c r="E30" t="s">
        <v>31</v>
      </c>
      <c r="F30" t="s">
        <v>29</v>
      </c>
      <c r="G30" t="str">
        <f>LEFT(F30,8)</f>
        <v>James</v>
      </c>
      <c r="M30" s="3" t="s">
        <v>4</v>
      </c>
    </row>
    <row r="31" spans="1:13">
      <c r="A31">
        <v>4</v>
      </c>
      <c r="B31" t="s">
        <v>32</v>
      </c>
      <c r="C31" t="s">
        <v>33</v>
      </c>
      <c r="D31" t="s">
        <v>34</v>
      </c>
      <c r="E31" t="s">
        <v>35</v>
      </c>
      <c r="F31" t="s">
        <v>33</v>
      </c>
      <c r="G31" t="str">
        <f>RIGHT(F31,1)</f>
        <v>a</v>
      </c>
      <c r="M31" s="3" t="s">
        <v>4</v>
      </c>
    </row>
    <row r="32" spans="1:13">
      <c r="A32">
        <v>5</v>
      </c>
      <c r="B32" t="s">
        <v>36</v>
      </c>
      <c r="C32" t="s">
        <v>37</v>
      </c>
      <c r="D32" t="s">
        <v>38</v>
      </c>
      <c r="E32" t="s">
        <v>39</v>
      </c>
      <c r="F32" t="s">
        <v>37</v>
      </c>
      <c r="G32" t="str">
        <f>RIGHT(F32,1)</f>
        <v>m</v>
      </c>
      <c r="M32" s="3" t="s">
        <v>4</v>
      </c>
    </row>
    <row r="33" spans="1:13">
      <c r="A33">
        <v>6</v>
      </c>
      <c r="B33" t="s">
        <v>40</v>
      </c>
      <c r="C33" t="s">
        <v>41</v>
      </c>
      <c r="D33" t="s">
        <v>42</v>
      </c>
      <c r="E33" t="s">
        <v>43</v>
      </c>
      <c r="F33" t="s">
        <v>41</v>
      </c>
      <c r="M33" s="3" t="s">
        <v>6</v>
      </c>
    </row>
    <row r="34" spans="1:13">
      <c r="A34">
        <v>7</v>
      </c>
      <c r="B34" t="s">
        <v>44</v>
      </c>
      <c r="C34" t="s">
        <v>45</v>
      </c>
      <c r="D34" t="s">
        <v>46</v>
      </c>
      <c r="E34" t="s">
        <v>47</v>
      </c>
      <c r="F34" t="s">
        <v>45</v>
      </c>
      <c r="M34" s="3" t="s">
        <v>4</v>
      </c>
    </row>
    <row r="35" spans="1:13">
      <c r="A35">
        <v>8</v>
      </c>
      <c r="B35" t="s">
        <v>48</v>
      </c>
      <c r="C35" t="s">
        <v>49</v>
      </c>
      <c r="D35" t="s">
        <v>50</v>
      </c>
      <c r="E35" t="s">
        <v>51</v>
      </c>
      <c r="F35" t="s">
        <v>49</v>
      </c>
      <c r="G35">
        <f>COUNT(A28:A38)</f>
        <v>11</v>
      </c>
      <c r="M35" s="3" t="s">
        <v>4</v>
      </c>
    </row>
    <row r="36" spans="1:13">
      <c r="A36">
        <v>9</v>
      </c>
      <c r="B36" t="s">
        <v>52</v>
      </c>
      <c r="C36" t="s">
        <v>53</v>
      </c>
      <c r="D36" t="s">
        <v>54</v>
      </c>
      <c r="E36" t="s">
        <v>55</v>
      </c>
      <c r="F36" t="s">
        <v>53</v>
      </c>
      <c r="M36" s="3" t="s">
        <v>4</v>
      </c>
    </row>
    <row r="37" spans="1:13">
      <c r="A37">
        <v>10</v>
      </c>
      <c r="B37" t="s">
        <v>56</v>
      </c>
      <c r="C37" t="s">
        <v>57</v>
      </c>
      <c r="D37" t="s">
        <v>58</v>
      </c>
      <c r="E37" t="s">
        <v>59</v>
      </c>
      <c r="F37" t="s">
        <v>57</v>
      </c>
      <c r="M37" s="3" t="s">
        <v>4</v>
      </c>
    </row>
    <row r="38" spans="1:13">
      <c r="A38">
        <v>11</v>
      </c>
      <c r="B38" t="s">
        <v>60</v>
      </c>
      <c r="C38" t="s">
        <v>61</v>
      </c>
      <c r="D38" t="s">
        <v>62</v>
      </c>
      <c r="E38" t="s">
        <v>63</v>
      </c>
      <c r="F38" t="s">
        <v>61</v>
      </c>
      <c r="M38" s="3" t="s">
        <v>4</v>
      </c>
    </row>
    <row r="39" spans="1:13">
      <c r="A39">
        <v>12</v>
      </c>
      <c r="B39" s="3" t="s">
        <v>64</v>
      </c>
      <c r="C39" t="s">
        <v>65</v>
      </c>
      <c r="D39" t="s">
        <v>66</v>
      </c>
      <c r="E39" t="s">
        <v>67</v>
      </c>
      <c r="F39" t="s">
        <v>65</v>
      </c>
      <c r="M39" s="3" t="s">
        <v>4</v>
      </c>
    </row>
    <row r="40" spans="1:13">
      <c r="A40">
        <v>13</v>
      </c>
      <c r="B40" t="s">
        <v>68</v>
      </c>
      <c r="C40" t="s">
        <v>69</v>
      </c>
      <c r="D40" t="s">
        <v>70</v>
      </c>
      <c r="E40" t="s">
        <v>71</v>
      </c>
      <c r="F40" t="s">
        <v>69</v>
      </c>
      <c r="M40" s="3" t="s">
        <v>4</v>
      </c>
    </row>
    <row r="41" spans="1:13">
      <c r="A41">
        <v>14</v>
      </c>
      <c r="B41" t="s">
        <v>72</v>
      </c>
      <c r="C41" t="s">
        <v>73</v>
      </c>
      <c r="D41" t="s">
        <v>74</v>
      </c>
      <c r="E41" t="s">
        <v>75</v>
      </c>
      <c r="F41" t="s">
        <v>73</v>
      </c>
      <c r="M41" s="3" t="s">
        <v>4</v>
      </c>
    </row>
    <row r="42" spans="1:13">
      <c r="A42">
        <v>15</v>
      </c>
      <c r="B42" t="s">
        <v>76</v>
      </c>
      <c r="C42" t="s">
        <v>77</v>
      </c>
      <c r="D42" t="s">
        <v>78</v>
      </c>
      <c r="E42" t="s">
        <v>79</v>
      </c>
      <c r="F42" t="s">
        <v>77</v>
      </c>
      <c r="M42" s="3" t="s">
        <v>4</v>
      </c>
    </row>
    <row r="43" spans="1:13">
      <c r="A43">
        <v>16</v>
      </c>
      <c r="B43" t="s">
        <v>80</v>
      </c>
      <c r="C43" t="s">
        <v>81</v>
      </c>
      <c r="D43" t="s">
        <v>82</v>
      </c>
      <c r="E43" t="s">
        <v>83</v>
      </c>
      <c r="F43" t="s">
        <v>81</v>
      </c>
      <c r="M43" s="3" t="s">
        <v>4</v>
      </c>
    </row>
    <row r="44" spans="1:13">
      <c r="A44">
        <v>17</v>
      </c>
      <c r="B44" t="s">
        <v>84</v>
      </c>
      <c r="C44" t="s">
        <v>85</v>
      </c>
      <c r="D44" t="s">
        <v>86</v>
      </c>
      <c r="E44" t="s">
        <v>87</v>
      </c>
      <c r="F44" t="s">
        <v>85</v>
      </c>
      <c r="M44" s="3" t="s">
        <v>4</v>
      </c>
    </row>
    <row r="45" spans="1:13">
      <c r="A45">
        <v>18</v>
      </c>
      <c r="B45" t="s">
        <v>88</v>
      </c>
      <c r="C45" t="s">
        <v>89</v>
      </c>
      <c r="D45" t="s">
        <v>90</v>
      </c>
      <c r="E45" t="s">
        <v>91</v>
      </c>
      <c r="F45" t="s">
        <v>89</v>
      </c>
      <c r="M45" s="3" t="s">
        <v>6</v>
      </c>
    </row>
    <row r="46" spans="1:13">
      <c r="A46">
        <v>19</v>
      </c>
      <c r="B46" t="s">
        <v>92</v>
      </c>
      <c r="C46" t="s">
        <v>93</v>
      </c>
      <c r="D46" t="s">
        <v>94</v>
      </c>
      <c r="E46" t="s">
        <v>95</v>
      </c>
      <c r="F46" t="s">
        <v>93</v>
      </c>
      <c r="M46" s="3" t="s">
        <v>4</v>
      </c>
    </row>
    <row r="47" spans="1:13">
      <c r="A47">
        <v>20</v>
      </c>
      <c r="B47" t="s">
        <v>96</v>
      </c>
      <c r="C47" t="s">
        <v>97</v>
      </c>
      <c r="D47" t="s">
        <v>98</v>
      </c>
      <c r="E47" t="s">
        <v>99</v>
      </c>
      <c r="F47" t="s">
        <v>97</v>
      </c>
      <c r="G47" cm="1">
        <f t="array" ref="G47">SUMPRODUCT(LEN(A46:B49))</f>
        <v>32</v>
      </c>
      <c r="M47" s="3" t="s">
        <v>6</v>
      </c>
    </row>
    <row r="48" spans="1:13">
      <c r="A48">
        <v>21</v>
      </c>
      <c r="B48" t="s">
        <v>100</v>
      </c>
      <c r="C48" t="s">
        <v>101</v>
      </c>
      <c r="D48" t="s">
        <v>102</v>
      </c>
      <c r="E48" t="s">
        <v>103</v>
      </c>
      <c r="F48" t="s">
        <v>101</v>
      </c>
      <c r="G48">
        <f>COUNT(A46:B49)</f>
        <v>4</v>
      </c>
      <c r="M48" s="3" t="s">
        <v>4</v>
      </c>
    </row>
    <row r="49" spans="1:13">
      <c r="A49">
        <v>22</v>
      </c>
      <c r="B49" t="s">
        <v>104</v>
      </c>
      <c r="C49" t="s">
        <v>105</v>
      </c>
      <c r="D49" t="s">
        <v>106</v>
      </c>
      <c r="E49" t="s">
        <v>107</v>
      </c>
      <c r="F49" t="s">
        <v>105</v>
      </c>
      <c r="G49">
        <f>COUNT(A46:B52)</f>
        <v>7</v>
      </c>
      <c r="M49" s="3" t="s">
        <v>4</v>
      </c>
    </row>
    <row r="50" spans="1:13">
      <c r="A50">
        <v>23</v>
      </c>
      <c r="B50" t="s">
        <v>108</v>
      </c>
      <c r="C50" t="s">
        <v>109</v>
      </c>
      <c r="D50" t="s">
        <v>110</v>
      </c>
      <c r="E50" t="s">
        <v>111</v>
      </c>
      <c r="F50" t="s">
        <v>109</v>
      </c>
      <c r="G50" cm="1">
        <f t="array" ref="G50:H59">LEN(A45:B54)</f>
        <v>2</v>
      </c>
      <c r="H50">
        <v>5</v>
      </c>
    </row>
    <row r="51" spans="1:13">
      <c r="A51">
        <v>24</v>
      </c>
      <c r="B51" t="s">
        <v>112</v>
      </c>
      <c r="C51" t="s">
        <v>113</v>
      </c>
      <c r="D51" t="s">
        <v>114</v>
      </c>
      <c r="E51" t="s">
        <v>115</v>
      </c>
      <c r="F51" t="s">
        <v>113</v>
      </c>
      <c r="G51">
        <v>2</v>
      </c>
      <c r="H51">
        <v>6</v>
      </c>
    </row>
    <row r="52" spans="1:13">
      <c r="A52">
        <v>25</v>
      </c>
      <c r="B52" t="s">
        <v>116</v>
      </c>
      <c r="C52" t="s">
        <v>117</v>
      </c>
      <c r="D52" t="s">
        <v>118</v>
      </c>
      <c r="E52" t="s">
        <v>119</v>
      </c>
      <c r="F52" t="s">
        <v>117</v>
      </c>
      <c r="G52">
        <v>2</v>
      </c>
      <c r="H52">
        <v>6</v>
      </c>
    </row>
    <row r="53" spans="1:13">
      <c r="A53">
        <v>26</v>
      </c>
      <c r="B53" t="s">
        <v>120</v>
      </c>
      <c r="C53" t="s">
        <v>121</v>
      </c>
      <c r="D53" t="s">
        <v>122</v>
      </c>
      <c r="E53" t="s">
        <v>123</v>
      </c>
      <c r="F53" t="s">
        <v>121</v>
      </c>
      <c r="G53">
        <v>2</v>
      </c>
      <c r="H53">
        <v>7</v>
      </c>
    </row>
    <row r="54" spans="1:13">
      <c r="A54">
        <v>27</v>
      </c>
      <c r="B54" t="s">
        <v>124</v>
      </c>
      <c r="C54" t="s">
        <v>125</v>
      </c>
      <c r="D54" t="s">
        <v>126</v>
      </c>
      <c r="E54" t="s">
        <v>127</v>
      </c>
      <c r="F54" t="s">
        <v>125</v>
      </c>
      <c r="G54">
        <v>2</v>
      </c>
      <c r="H54">
        <v>5</v>
      </c>
    </row>
    <row r="55" spans="1:13">
      <c r="A55">
        <v>28</v>
      </c>
      <c r="B55" t="s">
        <v>128</v>
      </c>
      <c r="C55" t="s">
        <v>129</v>
      </c>
      <c r="D55" t="s">
        <v>130</v>
      </c>
      <c r="E55" t="s">
        <v>131</v>
      </c>
      <c r="F55" t="s">
        <v>129</v>
      </c>
      <c r="G55">
        <v>2</v>
      </c>
      <c r="H55">
        <v>7</v>
      </c>
    </row>
    <row r="56" spans="1:13">
      <c r="A56">
        <v>29</v>
      </c>
      <c r="B56" t="s">
        <v>132</v>
      </c>
      <c r="C56" t="s">
        <v>133</v>
      </c>
      <c r="D56" t="s">
        <v>134</v>
      </c>
      <c r="E56" t="s">
        <v>135</v>
      </c>
      <c r="F56" t="s">
        <v>133</v>
      </c>
      <c r="G56">
        <v>2</v>
      </c>
      <c r="H56">
        <v>5</v>
      </c>
    </row>
    <row r="57" spans="1:13">
      <c r="A57">
        <v>30</v>
      </c>
      <c r="B57" t="s">
        <v>136</v>
      </c>
      <c r="C57" t="s">
        <v>137</v>
      </c>
      <c r="D57" t="s">
        <v>138</v>
      </c>
      <c r="E57" t="s">
        <v>139</v>
      </c>
      <c r="F57" t="s">
        <v>137</v>
      </c>
      <c r="G57">
        <v>2</v>
      </c>
      <c r="H57">
        <v>8</v>
      </c>
    </row>
    <row r="58" spans="1:13">
      <c r="A58">
        <v>31</v>
      </c>
      <c r="B58" t="s">
        <v>140</v>
      </c>
      <c r="C58" t="s">
        <v>141</v>
      </c>
      <c r="D58" t="s">
        <v>142</v>
      </c>
      <c r="E58" t="s">
        <v>143</v>
      </c>
      <c r="F58" t="s">
        <v>141</v>
      </c>
      <c r="G58">
        <v>2</v>
      </c>
      <c r="H58">
        <v>9</v>
      </c>
    </row>
    <row r="59" spans="1:13">
      <c r="A59">
        <v>32</v>
      </c>
      <c r="B59" t="s">
        <v>144</v>
      </c>
      <c r="C59" t="s">
        <v>145</v>
      </c>
      <c r="D59" t="s">
        <v>146</v>
      </c>
      <c r="E59" t="s">
        <v>147</v>
      </c>
      <c r="F59" t="s">
        <v>145</v>
      </c>
      <c r="G59">
        <v>2</v>
      </c>
      <c r="H59">
        <v>7</v>
      </c>
    </row>
    <row r="60" spans="1:13">
      <c r="A60">
        <v>33</v>
      </c>
      <c r="B60" t="s">
        <v>148</v>
      </c>
      <c r="C60" t="s">
        <v>149</v>
      </c>
      <c r="D60" t="s">
        <v>150</v>
      </c>
      <c r="E60" t="s">
        <v>151</v>
      </c>
      <c r="F60" t="s">
        <v>149</v>
      </c>
    </row>
    <row r="61" spans="1:13">
      <c r="A61">
        <v>34</v>
      </c>
      <c r="B61" t="s">
        <v>152</v>
      </c>
      <c r="C61" t="s">
        <v>153</v>
      </c>
      <c r="D61" t="s">
        <v>154</v>
      </c>
      <c r="E61" t="s">
        <v>155</v>
      </c>
      <c r="F61" t="s">
        <v>153</v>
      </c>
    </row>
    <row r="62" spans="1:13">
      <c r="A62">
        <v>35</v>
      </c>
      <c r="B62" t="s">
        <v>156</v>
      </c>
      <c r="C62" t="s">
        <v>157</v>
      </c>
      <c r="D62" t="s">
        <v>158</v>
      </c>
      <c r="E62" t="s">
        <v>159</v>
      </c>
      <c r="F62" t="s">
        <v>157</v>
      </c>
    </row>
    <row r="63" spans="1:13">
      <c r="A63">
        <v>36</v>
      </c>
      <c r="B63" t="s">
        <v>160</v>
      </c>
      <c r="C63" t="s">
        <v>161</v>
      </c>
      <c r="D63" t="s">
        <v>162</v>
      </c>
      <c r="E63" t="s">
        <v>163</v>
      </c>
      <c r="F63" t="s">
        <v>161</v>
      </c>
    </row>
    <row r="64" spans="1:13">
      <c r="A64">
        <v>37</v>
      </c>
      <c r="B64" t="s">
        <v>164</v>
      </c>
      <c r="C64" t="s">
        <v>165</v>
      </c>
      <c r="D64" t="s">
        <v>166</v>
      </c>
      <c r="E64" t="s">
        <v>167</v>
      </c>
      <c r="F64" t="s">
        <v>165</v>
      </c>
    </row>
    <row r="65" spans="1:9">
      <c r="A65">
        <v>38</v>
      </c>
      <c r="B65" t="s">
        <v>168</v>
      </c>
      <c r="C65" t="s">
        <v>169</v>
      </c>
      <c r="D65" t="s">
        <v>170</v>
      </c>
      <c r="E65" t="s">
        <v>171</v>
      </c>
      <c r="F65" t="s">
        <v>169</v>
      </c>
    </row>
    <row r="66" spans="1:9">
      <c r="A66">
        <v>39</v>
      </c>
      <c r="B66" t="s">
        <v>172</v>
      </c>
      <c r="C66" t="s">
        <v>173</v>
      </c>
      <c r="D66" t="s">
        <v>174</v>
      </c>
      <c r="E66" t="s">
        <v>175</v>
      </c>
      <c r="F66" t="s">
        <v>173</v>
      </c>
    </row>
    <row r="67" spans="1:9">
      <c r="A67">
        <v>40</v>
      </c>
      <c r="B67" t="s">
        <v>176</v>
      </c>
      <c r="C67" t="s">
        <v>177</v>
      </c>
      <c r="D67" t="s">
        <v>178</v>
      </c>
      <c r="E67" t="s">
        <v>179</v>
      </c>
      <c r="F67" t="s">
        <v>177</v>
      </c>
    </row>
    <row r="68" spans="1:9">
      <c r="A68">
        <v>41</v>
      </c>
      <c r="B68" t="s">
        <v>180</v>
      </c>
      <c r="C68" t="s">
        <v>181</v>
      </c>
      <c r="D68" t="s">
        <v>182</v>
      </c>
      <c r="E68" t="s">
        <v>183</v>
      </c>
      <c r="F68" t="s">
        <v>181</v>
      </c>
    </row>
    <row r="69" spans="1:9">
      <c r="A69">
        <v>42</v>
      </c>
      <c r="B69" t="s">
        <v>184</v>
      </c>
      <c r="C69" t="s">
        <v>185</v>
      </c>
      <c r="D69" t="s">
        <v>186</v>
      </c>
      <c r="E69" t="s">
        <v>187</v>
      </c>
      <c r="F69" t="s">
        <v>185</v>
      </c>
    </row>
    <row r="70" spans="1:9">
      <c r="A70">
        <v>43</v>
      </c>
      <c r="B70" t="s">
        <v>188</v>
      </c>
      <c r="C70" t="s">
        <v>189</v>
      </c>
      <c r="D70" t="s">
        <v>190</v>
      </c>
      <c r="E70" t="s">
        <v>191</v>
      </c>
      <c r="F70" t="s">
        <v>189</v>
      </c>
    </row>
    <row r="71" spans="1:9">
      <c r="A71">
        <v>44</v>
      </c>
      <c r="B71" t="s">
        <v>192</v>
      </c>
      <c r="C71" t="s">
        <v>193</v>
      </c>
      <c r="D71" t="s">
        <v>194</v>
      </c>
      <c r="E71" t="s">
        <v>195</v>
      </c>
      <c r="F71" t="s">
        <v>193</v>
      </c>
    </row>
    <row r="72" spans="1:9">
      <c r="A72">
        <v>45</v>
      </c>
      <c r="B72" t="s">
        <v>196</v>
      </c>
      <c r="C72" t="s">
        <v>197</v>
      </c>
      <c r="D72" t="s">
        <v>198</v>
      </c>
      <c r="E72" t="s">
        <v>199</v>
      </c>
      <c r="F72" t="s">
        <v>197</v>
      </c>
    </row>
    <row r="73" spans="1:9">
      <c r="A73">
        <v>46</v>
      </c>
      <c r="B73" t="s">
        <v>200</v>
      </c>
      <c r="C73" t="s">
        <v>201</v>
      </c>
      <c r="D73" t="s">
        <v>202</v>
      </c>
      <c r="E73" t="s">
        <v>203</v>
      </c>
      <c r="F73" t="s">
        <v>201</v>
      </c>
    </row>
    <row r="74" spans="1:9">
      <c r="A74">
        <v>47</v>
      </c>
      <c r="B74" t="s">
        <v>204</v>
      </c>
      <c r="C74" t="s">
        <v>205</v>
      </c>
      <c r="D74" t="s">
        <v>206</v>
      </c>
      <c r="E74" t="s">
        <v>207</v>
      </c>
      <c r="F74" t="s">
        <v>205</v>
      </c>
    </row>
    <row r="75" spans="1:9">
      <c r="A75">
        <v>48</v>
      </c>
      <c r="B75" t="s">
        <v>208</v>
      </c>
      <c r="C75" t="s">
        <v>209</v>
      </c>
      <c r="D75" t="s">
        <v>210</v>
      </c>
      <c r="E75" t="s">
        <v>211</v>
      </c>
      <c r="F75" t="s">
        <v>209</v>
      </c>
    </row>
    <row r="78" spans="1:9" ht="20.25" customHeight="1">
      <c r="B78" s="16" t="s">
        <v>212</v>
      </c>
    </row>
    <row r="79" spans="1:9">
      <c r="B79" s="10"/>
    </row>
    <row r="80" spans="1:9" ht="20.25" customHeight="1">
      <c r="B80" s="10" t="s">
        <v>213</v>
      </c>
      <c r="C80" t="str">
        <f>TRIM(B80)</f>
        <v>John Smith</v>
      </c>
      <c r="D80" t="s">
        <v>214</v>
      </c>
      <c r="E80" t="s">
        <v>215</v>
      </c>
      <c r="F80" t="str">
        <f>CONCATENATE(D80,".",E80,"@gmail.com")</f>
        <v>John.Smith@gmail.com</v>
      </c>
      <c r="G80" s="10" t="str">
        <f>CONCATENATE(D80,".",E80,"@gmail.com")</f>
        <v>John.Smith@gmail.com</v>
      </c>
      <c r="H80">
        <f>LEN(G80)</f>
        <v>20</v>
      </c>
      <c r="I80">
        <f>COUNT(G80)</f>
        <v>0</v>
      </c>
    </row>
    <row r="81" spans="2:9" ht="16.5" customHeight="1">
      <c r="B81" t="s">
        <v>216</v>
      </c>
      <c r="C81" t="str">
        <f>TRIM(B81)</f>
        <v>Emily Johnson</v>
      </c>
      <c r="D81" t="s">
        <v>217</v>
      </c>
      <c r="E81" t="s">
        <v>218</v>
      </c>
      <c r="F81" t="str">
        <f t="shared" ref="F81:F120" si="1">CONCATENATE(D81,".",E81,"@gmail.com")</f>
        <v>Emily.Johnson@gmail.com</v>
      </c>
      <c r="G81" s="10" t="str">
        <f t="shared" ref="G81:H120" si="2">CONCATENATE(D81,".",E81,"@gmail.com")</f>
        <v>Emily.Johnson@gmail.com</v>
      </c>
      <c r="H81">
        <f t="shared" ref="H81:H120" si="3">LEN(G81)</f>
        <v>23</v>
      </c>
      <c r="I81">
        <f>COUNT(G80:G86)</f>
        <v>0</v>
      </c>
    </row>
    <row r="82" spans="2:9" ht="13.5" customHeight="1">
      <c r="B82" t="s">
        <v>219</v>
      </c>
      <c r="C82" t="str">
        <f>TRIM(B82)</f>
        <v>Michael Brown</v>
      </c>
      <c r="D82" t="s">
        <v>220</v>
      </c>
      <c r="E82" t="s">
        <v>221</v>
      </c>
      <c r="F82" t="str">
        <f t="shared" si="1"/>
        <v>Michael.Brown@gmail.com</v>
      </c>
      <c r="G82" s="10" t="str">
        <f t="shared" si="2"/>
        <v>Michael.Brown@gmail.com</v>
      </c>
      <c r="H82">
        <f t="shared" si="3"/>
        <v>23</v>
      </c>
    </row>
    <row r="83" spans="2:9" ht="15" customHeight="1">
      <c r="B83" t="s">
        <v>222</v>
      </c>
      <c r="C83" t="str">
        <f>TRIM(B83)</f>
        <v>Sophia Davis</v>
      </c>
      <c r="D83" t="s">
        <v>223</v>
      </c>
      <c r="E83" t="s">
        <v>224</v>
      </c>
      <c r="F83" t="str">
        <f t="shared" si="1"/>
        <v>Sophia.Davis@gmail.com</v>
      </c>
      <c r="G83" s="10" t="str">
        <f t="shared" si="2"/>
        <v>Sophia.Davis@gmail.com</v>
      </c>
      <c r="H83">
        <f t="shared" si="3"/>
        <v>22</v>
      </c>
      <c r="I83">
        <f>COUNT(G80:G87)</f>
        <v>0</v>
      </c>
    </row>
    <row r="84" spans="2:9" ht="15.75" customHeight="1">
      <c r="B84" t="s">
        <v>225</v>
      </c>
      <c r="C84" t="str">
        <f>TRIM(B84)</f>
        <v>Daniel Miller</v>
      </c>
      <c r="D84" t="s">
        <v>21</v>
      </c>
      <c r="E84" t="s">
        <v>226</v>
      </c>
      <c r="F84" t="str">
        <f t="shared" si="1"/>
        <v>Daniel.Miller@gmail.com</v>
      </c>
      <c r="G84" s="10" t="str">
        <f t="shared" si="2"/>
        <v>Daniel.Miller@gmail.com</v>
      </c>
      <c r="H84">
        <f t="shared" si="3"/>
        <v>23</v>
      </c>
      <c r="I84">
        <f>COUNT(H81:H86)</f>
        <v>6</v>
      </c>
    </row>
    <row r="85" spans="2:9" ht="17.25" customHeight="1">
      <c r="B85" t="s">
        <v>227</v>
      </c>
      <c r="C85" t="str">
        <f>TRIM(B85)</f>
        <v>Olivia Wilson</v>
      </c>
      <c r="D85" t="s">
        <v>25</v>
      </c>
      <c r="E85" t="s">
        <v>228</v>
      </c>
      <c r="F85" t="str">
        <f t="shared" si="1"/>
        <v>Olivia.Wilson@gmail.com</v>
      </c>
      <c r="G85" s="10" t="str">
        <f t="shared" si="2"/>
        <v>Olivia.Wilson@gmail.com</v>
      </c>
      <c r="H85">
        <f t="shared" si="3"/>
        <v>23</v>
      </c>
    </row>
    <row r="86" spans="2:9" ht="17.25" customHeight="1">
      <c r="B86" t="s">
        <v>229</v>
      </c>
      <c r="C86" t="str">
        <f>TRIM(B86)</f>
        <v>James Taylor</v>
      </c>
      <c r="D86" t="s">
        <v>29</v>
      </c>
      <c r="E86" t="s">
        <v>230</v>
      </c>
      <c r="F86" t="str">
        <f t="shared" si="1"/>
        <v>James.Taylor@gmail.com</v>
      </c>
      <c r="G86" s="10" t="str">
        <f t="shared" si="2"/>
        <v>James.Taylor@gmail.com</v>
      </c>
      <c r="H86">
        <f t="shared" si="3"/>
        <v>22</v>
      </c>
    </row>
    <row r="87" spans="2:9" ht="16.5" customHeight="1">
      <c r="B87" t="s">
        <v>231</v>
      </c>
      <c r="C87" t="str">
        <f>TRIM(B87)</f>
        <v>Ava Anderson</v>
      </c>
      <c r="D87" t="s">
        <v>33</v>
      </c>
      <c r="E87" t="s">
        <v>232</v>
      </c>
      <c r="F87" t="str">
        <f t="shared" si="1"/>
        <v>Ava.Anderson@gmail.com</v>
      </c>
      <c r="G87" s="10" t="str">
        <f t="shared" si="2"/>
        <v>Ava.Anderson@gmail.com</v>
      </c>
      <c r="H87">
        <f t="shared" si="3"/>
        <v>22</v>
      </c>
    </row>
    <row r="88" spans="2:9" ht="17.25" customHeight="1">
      <c r="B88" t="s">
        <v>233</v>
      </c>
      <c r="C88" t="str">
        <f>TRIM(B88)</f>
        <v>William Thomas</v>
      </c>
      <c r="D88" t="s">
        <v>37</v>
      </c>
      <c r="E88" t="s">
        <v>234</v>
      </c>
      <c r="F88" t="str">
        <f t="shared" si="1"/>
        <v>William.Thomas@gmail.com</v>
      </c>
      <c r="G88" s="10" t="str">
        <f t="shared" si="2"/>
        <v>William.Thomas@gmail.com</v>
      </c>
      <c r="H88">
        <f t="shared" si="3"/>
        <v>24</v>
      </c>
    </row>
    <row r="89" spans="2:9" ht="15" customHeight="1">
      <c r="B89" t="s">
        <v>235</v>
      </c>
      <c r="C89" t="str">
        <f>TRIM(B89)</f>
        <v>Mia Moore</v>
      </c>
      <c r="D89" t="s">
        <v>41</v>
      </c>
      <c r="E89" t="s">
        <v>236</v>
      </c>
      <c r="F89" t="str">
        <f t="shared" si="1"/>
        <v>Mia.Moore@gmail.com</v>
      </c>
      <c r="G89" s="10" t="str">
        <f t="shared" si="2"/>
        <v>Mia.Moore@gmail.com</v>
      </c>
      <c r="H89">
        <f t="shared" si="3"/>
        <v>19</v>
      </c>
    </row>
    <row r="90" spans="2:9" ht="16.5" customHeight="1">
      <c r="B90" t="s">
        <v>237</v>
      </c>
      <c r="C90" t="str">
        <f>TRIM(B90)</f>
        <v>Ethan Jackson</v>
      </c>
      <c r="D90" t="s">
        <v>45</v>
      </c>
      <c r="E90" t="s">
        <v>69</v>
      </c>
      <c r="F90" t="str">
        <f t="shared" si="1"/>
        <v>Ethan.Jackson@gmail.com</v>
      </c>
      <c r="G90" s="10" t="str">
        <f t="shared" si="2"/>
        <v>Ethan.Jackson@gmail.com</v>
      </c>
      <c r="H90">
        <f t="shared" si="3"/>
        <v>23</v>
      </c>
    </row>
    <row r="91" spans="2:9" ht="19.5" customHeight="1">
      <c r="B91" t="s">
        <v>238</v>
      </c>
      <c r="C91" t="str">
        <f>TRIM(B91)</f>
        <v>Charlotte Martin</v>
      </c>
      <c r="D91" t="s">
        <v>49</v>
      </c>
      <c r="E91" t="s">
        <v>239</v>
      </c>
      <c r="F91" t="str">
        <f t="shared" si="1"/>
        <v>Charlotte.Martin@gmail.com</v>
      </c>
      <c r="G91" s="10" t="str">
        <f t="shared" si="2"/>
        <v>Charlotte.Martin@gmail.com</v>
      </c>
      <c r="H91">
        <f t="shared" si="3"/>
        <v>26</v>
      </c>
    </row>
    <row r="92" spans="2:9" ht="18" customHeight="1">
      <c r="B92" t="s">
        <v>240</v>
      </c>
      <c r="C92" t="str">
        <f>TRIM(B92)</f>
        <v>Alexander Lee</v>
      </c>
      <c r="D92" t="s">
        <v>53</v>
      </c>
      <c r="E92" t="s">
        <v>241</v>
      </c>
      <c r="F92" t="str">
        <f t="shared" si="1"/>
        <v>Alexander.Lee@gmail.com</v>
      </c>
      <c r="G92" s="10" t="str">
        <f t="shared" si="2"/>
        <v>Alexander.Lee@gmail.com</v>
      </c>
      <c r="H92">
        <f t="shared" si="3"/>
        <v>23</v>
      </c>
    </row>
    <row r="93" spans="2:9" ht="20.25" customHeight="1">
      <c r="B93" t="s">
        <v>242</v>
      </c>
      <c r="C93" t="str">
        <f>TRIM(B93)</f>
        <v>Isabella Perez</v>
      </c>
      <c r="D93" t="s">
        <v>57</v>
      </c>
      <c r="E93" t="s">
        <v>243</v>
      </c>
      <c r="F93" t="str">
        <f t="shared" si="1"/>
        <v>Isabella.Perez@gmail.com</v>
      </c>
      <c r="G93" s="10" t="str">
        <f t="shared" si="2"/>
        <v>Isabella.Perez@gmail.com</v>
      </c>
      <c r="H93">
        <f t="shared" si="3"/>
        <v>24</v>
      </c>
    </row>
    <row r="94" spans="2:9" ht="21" customHeight="1">
      <c r="B94" t="s">
        <v>244</v>
      </c>
      <c r="C94" t="str">
        <f>TRIM(B94)</f>
        <v>Henry Thompson</v>
      </c>
      <c r="D94" t="s">
        <v>61</v>
      </c>
      <c r="E94" t="s">
        <v>245</v>
      </c>
      <c r="F94" t="str">
        <f t="shared" si="1"/>
        <v>Henry.Thompson@gmail.com</v>
      </c>
      <c r="G94" s="10" t="str">
        <f t="shared" si="2"/>
        <v>Henry.Thompson@gmail.com</v>
      </c>
      <c r="H94">
        <f t="shared" si="3"/>
        <v>24</v>
      </c>
    </row>
    <row r="95" spans="2:9" ht="18" customHeight="1">
      <c r="B95" t="s">
        <v>246</v>
      </c>
      <c r="C95" t="str">
        <f>TRIM(B95)</f>
        <v>Amelia White</v>
      </c>
      <c r="D95" t="s">
        <v>65</v>
      </c>
      <c r="E95" t="s">
        <v>247</v>
      </c>
      <c r="F95" t="str">
        <f t="shared" si="1"/>
        <v>Amelia.White@gmail.com</v>
      </c>
      <c r="G95" s="10" t="str">
        <f t="shared" si="2"/>
        <v>Amelia.White@gmail.com</v>
      </c>
      <c r="H95">
        <f t="shared" si="3"/>
        <v>22</v>
      </c>
    </row>
    <row r="96" spans="2:9" ht="17.25" customHeight="1">
      <c r="B96" t="s">
        <v>248</v>
      </c>
      <c r="C96" t="str">
        <f>TRIM(B96)</f>
        <v>Jackson Harris</v>
      </c>
      <c r="D96" t="s">
        <v>69</v>
      </c>
      <c r="E96" t="s">
        <v>249</v>
      </c>
      <c r="F96" t="str">
        <f t="shared" si="1"/>
        <v>Jackson.Harris@gmail.com</v>
      </c>
      <c r="G96" s="10" t="str">
        <f t="shared" si="2"/>
        <v>Jackson.Harris@gmail.com</v>
      </c>
      <c r="H96">
        <f t="shared" si="3"/>
        <v>24</v>
      </c>
    </row>
    <row r="97" spans="2:8" ht="18" customHeight="1">
      <c r="B97" t="s">
        <v>250</v>
      </c>
      <c r="C97" t="str">
        <f>TRIM(B97)</f>
        <v>Evelyn Clark</v>
      </c>
      <c r="D97" t="s">
        <v>73</v>
      </c>
      <c r="E97" t="s">
        <v>251</v>
      </c>
      <c r="F97" t="str">
        <f t="shared" si="1"/>
        <v>Evelyn.Clark@gmail.com</v>
      </c>
      <c r="G97" s="10" t="str">
        <f t="shared" si="2"/>
        <v>Evelyn.Clark@gmail.com</v>
      </c>
      <c r="H97">
        <f t="shared" si="3"/>
        <v>22</v>
      </c>
    </row>
    <row r="98" spans="2:8" ht="20.25" customHeight="1">
      <c r="B98" t="s">
        <v>252</v>
      </c>
      <c r="C98" t="str">
        <f>TRIM(B98)</f>
        <v>Sebastian Lewis</v>
      </c>
      <c r="D98" t="s">
        <v>77</v>
      </c>
      <c r="E98" t="s">
        <v>253</v>
      </c>
      <c r="F98" t="str">
        <f t="shared" si="1"/>
        <v>Sebastian.Lewis@gmail.com</v>
      </c>
      <c r="G98" s="10" t="str">
        <f t="shared" si="2"/>
        <v>Sebastian.Lewis@gmail.com</v>
      </c>
      <c r="H98">
        <f t="shared" si="3"/>
        <v>25</v>
      </c>
    </row>
    <row r="99" spans="2:8" ht="18.75" customHeight="1">
      <c r="B99" t="s">
        <v>254</v>
      </c>
      <c r="C99" t="str">
        <f>TRIM(B99)</f>
        <v>Harper Robinson</v>
      </c>
      <c r="D99" t="s">
        <v>81</v>
      </c>
      <c r="E99" t="s">
        <v>255</v>
      </c>
      <c r="F99" t="str">
        <f t="shared" si="1"/>
        <v>Harper.Robinson@gmail.com</v>
      </c>
      <c r="G99" s="10" t="str">
        <f t="shared" si="2"/>
        <v>Harper.Robinson@gmail.com</v>
      </c>
      <c r="H99">
        <f t="shared" si="3"/>
        <v>25</v>
      </c>
    </row>
    <row r="100" spans="2:8" ht="19.5" customHeight="1">
      <c r="B100" t="s">
        <v>256</v>
      </c>
      <c r="C100" t="str">
        <f>TRIM(B100)</f>
        <v>Matthew Walker</v>
      </c>
      <c r="D100" t="s">
        <v>85</v>
      </c>
      <c r="E100" t="s">
        <v>257</v>
      </c>
      <c r="F100" t="str">
        <f t="shared" si="1"/>
        <v>Matthew.Walker@gmail.com</v>
      </c>
      <c r="G100" s="10" t="str">
        <f t="shared" si="2"/>
        <v>Matthew.Walker@gmail.com</v>
      </c>
      <c r="H100">
        <f t="shared" si="3"/>
        <v>24</v>
      </c>
    </row>
    <row r="101" spans="2:8" ht="17.25" customHeight="1">
      <c r="B101" t="s">
        <v>258</v>
      </c>
      <c r="C101" t="str">
        <f>TRIM(B101)</f>
        <v>Ella Young</v>
      </c>
      <c r="D101" t="s">
        <v>89</v>
      </c>
      <c r="E101" t="s">
        <v>259</v>
      </c>
      <c r="F101" t="str">
        <f t="shared" si="1"/>
        <v>Ella.Young@gmail.com</v>
      </c>
      <c r="G101" s="10" t="str">
        <f t="shared" si="2"/>
        <v>Ella.Young@gmail.com</v>
      </c>
      <c r="H101">
        <f t="shared" si="3"/>
        <v>20</v>
      </c>
    </row>
    <row r="102" spans="2:8" ht="17.25" customHeight="1">
      <c r="B102" t="s">
        <v>260</v>
      </c>
      <c r="C102" t="str">
        <f>TRIM(B102)</f>
        <v>David Hall</v>
      </c>
      <c r="D102" t="s">
        <v>93</v>
      </c>
      <c r="E102" t="s">
        <v>261</v>
      </c>
      <c r="F102" t="str">
        <f t="shared" si="1"/>
        <v>David.Hall@gmail.com</v>
      </c>
      <c r="G102" s="10" t="str">
        <f t="shared" si="2"/>
        <v>David.Hall@gmail.com</v>
      </c>
      <c r="H102">
        <f t="shared" si="3"/>
        <v>20</v>
      </c>
    </row>
    <row r="103" spans="2:8" ht="19.5" customHeight="1">
      <c r="B103" t="s">
        <v>262</v>
      </c>
      <c r="C103" t="str">
        <f>TRIM(B103)</f>
        <v>Grace Allen</v>
      </c>
      <c r="D103" t="s">
        <v>97</v>
      </c>
      <c r="E103" t="s">
        <v>263</v>
      </c>
      <c r="F103" t="str">
        <f t="shared" si="1"/>
        <v>Grace.Allen@gmail.com</v>
      </c>
      <c r="G103" s="10" t="str">
        <f t="shared" si="2"/>
        <v>Grace.Allen@gmail.com</v>
      </c>
      <c r="H103">
        <f t="shared" si="3"/>
        <v>21</v>
      </c>
    </row>
    <row r="104" spans="2:8" ht="17.25" customHeight="1">
      <c r="B104" t="s">
        <v>264</v>
      </c>
      <c r="C104" t="str">
        <f>TRIM(B104)</f>
        <v>Joseph King</v>
      </c>
      <c r="D104" t="s">
        <v>101</v>
      </c>
      <c r="E104" t="s">
        <v>265</v>
      </c>
      <c r="F104" t="str">
        <f t="shared" si="1"/>
        <v>Joseph.King@gmail.com</v>
      </c>
      <c r="G104" s="10" t="str">
        <f t="shared" si="2"/>
        <v>Joseph.King@gmail.com</v>
      </c>
      <c r="H104">
        <f t="shared" si="3"/>
        <v>21</v>
      </c>
    </row>
    <row r="105" spans="2:8" ht="16.5" customHeight="1">
      <c r="B105" t="s">
        <v>266</v>
      </c>
      <c r="C105" t="str">
        <f>TRIM(B105)</f>
        <v>Lily Scott</v>
      </c>
      <c r="D105" t="s">
        <v>105</v>
      </c>
      <c r="E105" t="s">
        <v>267</v>
      </c>
      <c r="F105" t="str">
        <f t="shared" si="1"/>
        <v>Lily.Scott@gmail.com</v>
      </c>
      <c r="G105" s="10" t="str">
        <f t="shared" si="2"/>
        <v>Lily.Scott@gmail.com</v>
      </c>
      <c r="H105">
        <f t="shared" si="3"/>
        <v>20</v>
      </c>
    </row>
    <row r="106" spans="2:8" ht="14.25" customHeight="1">
      <c r="B106" t="s">
        <v>268</v>
      </c>
      <c r="C106" t="str">
        <f>TRIM(B106)</f>
        <v>Samuel Green</v>
      </c>
      <c r="D106" t="s">
        <v>109</v>
      </c>
      <c r="E106" t="s">
        <v>269</v>
      </c>
      <c r="F106" t="str">
        <f t="shared" si="1"/>
        <v>Samuel.Green@gmail.com</v>
      </c>
      <c r="G106" s="10" t="str">
        <f t="shared" si="2"/>
        <v>Samuel.Green@gmail.com</v>
      </c>
      <c r="H106">
        <f t="shared" si="3"/>
        <v>22</v>
      </c>
    </row>
    <row r="107" spans="2:8" ht="13.5" customHeight="1">
      <c r="B107" t="s">
        <v>270</v>
      </c>
      <c r="C107" t="str">
        <f>TRIM(B107)</f>
        <v>Aria Adams</v>
      </c>
      <c r="D107" t="s">
        <v>113</v>
      </c>
      <c r="E107" t="s">
        <v>271</v>
      </c>
      <c r="F107" t="str">
        <f t="shared" si="1"/>
        <v>Aria.Adams@gmail.com</v>
      </c>
      <c r="G107" s="10" t="str">
        <f t="shared" si="2"/>
        <v>Aria.Adams@gmail.com</v>
      </c>
      <c r="H107">
        <f t="shared" si="3"/>
        <v>20</v>
      </c>
    </row>
    <row r="108" spans="2:8" ht="15.75" customHeight="1">
      <c r="B108" t="s">
        <v>272</v>
      </c>
      <c r="C108" t="str">
        <f>TRIM(B108)</f>
        <v>Gabriel Baker</v>
      </c>
      <c r="D108" t="s">
        <v>117</v>
      </c>
      <c r="E108" t="s">
        <v>273</v>
      </c>
      <c r="F108" t="str">
        <f t="shared" si="1"/>
        <v>Gabriel.Baker@gmail.com</v>
      </c>
      <c r="G108" s="10" t="str">
        <f t="shared" si="2"/>
        <v>Gabriel.Baker@gmail.com</v>
      </c>
      <c r="H108">
        <f t="shared" si="3"/>
        <v>23</v>
      </c>
    </row>
    <row r="109" spans="2:8" ht="16.5" customHeight="1">
      <c r="B109" t="s">
        <v>274</v>
      </c>
      <c r="C109" t="str">
        <f>TRIM(B109)</f>
        <v>Scarlett Nelson</v>
      </c>
      <c r="D109" t="s">
        <v>121</v>
      </c>
      <c r="E109" t="s">
        <v>275</v>
      </c>
      <c r="F109" t="str">
        <f t="shared" si="1"/>
        <v>Scarlett.Nelson@gmail.com</v>
      </c>
      <c r="G109" s="10" t="str">
        <f t="shared" si="2"/>
        <v>Scarlett.Nelson@gmail.com</v>
      </c>
      <c r="H109">
        <f t="shared" si="3"/>
        <v>25</v>
      </c>
    </row>
    <row r="110" spans="2:8">
      <c r="B110" t="s">
        <v>276</v>
      </c>
      <c r="C110" t="str">
        <f>TRIM(B110)</f>
        <v>Andrew Carter</v>
      </c>
      <c r="D110" t="s">
        <v>125</v>
      </c>
      <c r="E110" t="s">
        <v>277</v>
      </c>
      <c r="F110" t="str">
        <f t="shared" si="1"/>
        <v>Andrew.Carter@gmail.com</v>
      </c>
      <c r="G110" s="10" t="str">
        <f t="shared" si="2"/>
        <v>Andrew.Carter@gmail.com</v>
      </c>
      <c r="H110">
        <f t="shared" si="3"/>
        <v>23</v>
      </c>
    </row>
    <row r="111" spans="2:8">
      <c r="B111" t="s">
        <v>278</v>
      </c>
      <c r="C111" t="str">
        <f>TRIM(B111)</f>
        <v>Hannah Mitchell</v>
      </c>
      <c r="D111" t="s">
        <v>129</v>
      </c>
      <c r="E111" t="s">
        <v>279</v>
      </c>
      <c r="F111" t="str">
        <f t="shared" si="1"/>
        <v>Hannah.Mitchell@gmail.com</v>
      </c>
      <c r="G111" s="10" t="str">
        <f t="shared" si="2"/>
        <v>Hannah.Mitchell@gmail.com</v>
      </c>
      <c r="H111">
        <f t="shared" si="3"/>
        <v>25</v>
      </c>
    </row>
    <row r="112" spans="2:8">
      <c r="B112" t="s">
        <v>280</v>
      </c>
      <c r="C112" t="str">
        <f>TRIM(B112)</f>
        <v>Christopher Roberts</v>
      </c>
      <c r="D112" t="s">
        <v>133</v>
      </c>
      <c r="E112" t="s">
        <v>281</v>
      </c>
      <c r="F112" t="str">
        <f t="shared" si="1"/>
        <v>Christopher.Roberts@gmail.com</v>
      </c>
      <c r="G112" s="10" t="str">
        <f t="shared" si="2"/>
        <v>Christopher.Roberts@gmail.com</v>
      </c>
      <c r="H112">
        <f t="shared" si="3"/>
        <v>29</v>
      </c>
    </row>
    <row r="113" spans="2:8">
      <c r="B113" t="s">
        <v>282</v>
      </c>
      <c r="C113" t="str">
        <f>TRIM(B113)</f>
        <v>Zoey Turner</v>
      </c>
      <c r="D113" t="s">
        <v>137</v>
      </c>
      <c r="E113" t="s">
        <v>283</v>
      </c>
      <c r="F113" t="str">
        <f t="shared" si="1"/>
        <v>Zoey.Turner@gmail.com</v>
      </c>
      <c r="G113" s="10" t="str">
        <f t="shared" si="2"/>
        <v>Zoey.Turner@gmail.com</v>
      </c>
      <c r="H113">
        <f t="shared" si="3"/>
        <v>21</v>
      </c>
    </row>
    <row r="114" spans="2:8">
      <c r="B114" t="s">
        <v>284</v>
      </c>
      <c r="C114" t="str">
        <f>TRIM(B114)</f>
        <v>Anthony Phillips</v>
      </c>
      <c r="D114" t="s">
        <v>141</v>
      </c>
      <c r="E114" t="s">
        <v>285</v>
      </c>
      <c r="F114" t="str">
        <f t="shared" si="1"/>
        <v>Anthony.Phillips@gmail.com</v>
      </c>
      <c r="G114" s="10" t="str">
        <f t="shared" si="2"/>
        <v>Anthony.Phillips@gmail.com</v>
      </c>
      <c r="H114">
        <f t="shared" si="3"/>
        <v>26</v>
      </c>
    </row>
    <row r="115" spans="2:8">
      <c r="B115" t="s">
        <v>286</v>
      </c>
      <c r="C115" t="str">
        <f>TRIM(B115)</f>
        <v>Nora Campbell</v>
      </c>
      <c r="D115" t="s">
        <v>145</v>
      </c>
      <c r="E115" t="s">
        <v>287</v>
      </c>
      <c r="F115" t="str">
        <f t="shared" si="1"/>
        <v>Nora.Campbell@gmail.com</v>
      </c>
      <c r="G115" s="10" t="str">
        <f t="shared" si="2"/>
        <v>Nora.Campbell@gmail.com</v>
      </c>
      <c r="H115">
        <f t="shared" si="3"/>
        <v>23</v>
      </c>
    </row>
    <row r="116" spans="2:8">
      <c r="B116" t="s">
        <v>288</v>
      </c>
      <c r="C116" t="str">
        <f>TRIM(B116)</f>
        <v>Dylan Parker</v>
      </c>
      <c r="D116" t="s">
        <v>149</v>
      </c>
      <c r="E116" t="s">
        <v>289</v>
      </c>
      <c r="F116" t="str">
        <f t="shared" si="1"/>
        <v>Dylan.Parker@gmail.com</v>
      </c>
      <c r="G116" s="10" t="str">
        <f t="shared" si="2"/>
        <v>Dylan.Parker@gmail.com</v>
      </c>
      <c r="H116">
        <f t="shared" si="3"/>
        <v>22</v>
      </c>
    </row>
    <row r="117" spans="2:8">
      <c r="B117" t="s">
        <v>290</v>
      </c>
      <c r="C117" t="str">
        <f>TRIM(B117)</f>
        <v>Stella Evans</v>
      </c>
      <c r="D117" t="s">
        <v>153</v>
      </c>
      <c r="E117" t="s">
        <v>291</v>
      </c>
      <c r="F117" t="str">
        <f t="shared" si="1"/>
        <v>Stella.Evans@gmail.com</v>
      </c>
      <c r="G117" s="10" t="str">
        <f t="shared" si="2"/>
        <v>Stella.Evans@gmail.com</v>
      </c>
      <c r="H117">
        <f t="shared" si="3"/>
        <v>22</v>
      </c>
    </row>
    <row r="118" spans="2:8">
      <c r="B118" t="s">
        <v>292</v>
      </c>
      <c r="C118" t="str">
        <f>TRIM(B118)</f>
        <v>Isaac Edwards</v>
      </c>
      <c r="D118" t="s">
        <v>157</v>
      </c>
      <c r="E118" t="s">
        <v>293</v>
      </c>
      <c r="F118" t="str">
        <f t="shared" si="1"/>
        <v>Isaac.Edwards@gmail.com</v>
      </c>
      <c r="G118" s="10" t="str">
        <f t="shared" si="2"/>
        <v>Isaac.Edwards@gmail.com</v>
      </c>
      <c r="H118">
        <f t="shared" si="3"/>
        <v>23</v>
      </c>
    </row>
    <row r="119" spans="2:8">
      <c r="B119" t="s">
        <v>294</v>
      </c>
      <c r="C119" t="str">
        <f>TRIM(B119)</f>
        <v>Natalie Collins</v>
      </c>
      <c r="D119" t="s">
        <v>161</v>
      </c>
      <c r="E119" t="s">
        <v>295</v>
      </c>
      <c r="F119" t="str">
        <f t="shared" si="1"/>
        <v>Natalie.Collins@gmail.com</v>
      </c>
      <c r="G119" s="10" t="str">
        <f t="shared" si="2"/>
        <v>Natalie.Collins@gmail.com</v>
      </c>
      <c r="H119">
        <f t="shared" si="3"/>
        <v>25</v>
      </c>
    </row>
    <row r="120" spans="2:8">
      <c r="B120" t="s">
        <v>296</v>
      </c>
      <c r="C120" t="str">
        <f>TRIM(B120)</f>
        <v>Luke Stewart</v>
      </c>
      <c r="D120" t="s">
        <v>165</v>
      </c>
      <c r="E120" t="s">
        <v>297</v>
      </c>
      <c r="F120" t="str">
        <f t="shared" si="1"/>
        <v>Luke.Stewart@gmail.com</v>
      </c>
      <c r="G120" s="10" t="str">
        <f t="shared" si="2"/>
        <v>Luke.Stewart@gmail.com</v>
      </c>
      <c r="H120">
        <f t="shared" si="3"/>
        <v>22</v>
      </c>
    </row>
    <row r="125" spans="2:8">
      <c r="E125">
        <v>3</v>
      </c>
      <c r="F125">
        <v>4</v>
      </c>
    </row>
    <row r="126" spans="2:8">
      <c r="E126">
        <v>4</v>
      </c>
      <c r="F126">
        <f>E126*F125</f>
        <v>16</v>
      </c>
    </row>
    <row r="127" spans="2:8">
      <c r="C127">
        <f>C125+C126</f>
        <v>0</v>
      </c>
      <c r="E127">
        <v>32</v>
      </c>
      <c r="F127">
        <f>E127*F126</f>
        <v>512</v>
      </c>
    </row>
  </sheetData>
  <sheetProtection formatCells="0"/>
  <sortState xmlns:xlrd2="http://schemas.microsoft.com/office/spreadsheetml/2017/richdata2" ref="B81:K81">
    <sortCondition descending="1" ref="B81"/>
  </sortState>
  <conditionalFormatting sqref="F3">
    <cfRule type="cellIs" dxfId="0" priority="2" operator="equal">
      <formula>2</formula>
    </cfRule>
  </conditionalFormatting>
  <conditionalFormatting sqref="F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{6527AF88-5B93-40A0-91DB-6796CCD05FC0}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27AF88-5B93-40A0-91DB-6796CCD05F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M.SANJANA SREE</cp:lastModifiedBy>
  <cp:revision/>
  <dcterms:created xsi:type="dcterms:W3CDTF">2026-07-01T07:18:59Z</dcterms:created>
  <dcterms:modified xsi:type="dcterms:W3CDTF">2026-07-12T14:00:06Z</dcterms:modified>
  <cp:category/>
  <cp:contentStatus/>
</cp:coreProperties>
</file>